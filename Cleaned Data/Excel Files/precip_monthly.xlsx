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lan\My OneDrive\Desktop\S4W Data Cleaner\Cleaned Data\Excel Files\"/>
    </mc:Choice>
  </mc:AlternateContent>
  <xr:revisionPtr revIDLastSave="0" documentId="13_ncr:9_{4AD10B5E-CE2D-463F-96E3-87F9A60B1A63}" xr6:coauthVersionLast="47" xr6:coauthVersionMax="47" xr10:uidLastSave="{00000000-0000-0000-0000-000000000000}"/>
  <bookViews>
    <workbookView xWindow="-103" yWindow="-103" windowWidth="19406" windowHeight="11486" xr2:uid="{0886E837-9D23-406E-B946-04BA5677EBA2}"/>
  </bookViews>
  <sheets>
    <sheet name="precip_monthly" sheetId="1" r:id="rId1"/>
  </sheets>
  <calcPr calcId="0"/>
</workbook>
</file>

<file path=xl/calcChain.xml><?xml version="1.0" encoding="utf-8"?>
<calcChain xmlns="http://schemas.openxmlformats.org/spreadsheetml/2006/main">
  <c r="AC22" i="1" l="1"/>
  <c r="AC21" i="1"/>
  <c r="AC20" i="1"/>
  <c r="AC19" i="1"/>
  <c r="AB24" i="1"/>
  <c r="AB22" i="1"/>
  <c r="AB21" i="1"/>
  <c r="AB20" i="1"/>
  <c r="AB19" i="1"/>
  <c r="U19" i="1"/>
  <c r="U20" i="1"/>
  <c r="U21" i="1"/>
  <c r="U22" i="1"/>
  <c r="U23" i="1"/>
  <c r="U24" i="1"/>
  <c r="U25" i="1"/>
  <c r="U26" i="1"/>
  <c r="U27" i="1"/>
  <c r="U28" i="1"/>
  <c r="U29" i="1"/>
  <c r="U18" i="1"/>
  <c r="U4" i="1"/>
  <c r="U5" i="1"/>
  <c r="U6" i="1"/>
  <c r="U7" i="1"/>
  <c r="U8" i="1"/>
  <c r="U9" i="1"/>
  <c r="U10" i="1"/>
  <c r="U11" i="1"/>
  <c r="U12" i="1"/>
  <c r="U13" i="1"/>
  <c r="U14" i="1"/>
  <c r="U3" i="1"/>
</calcChain>
</file>

<file path=xl/sharedStrings.xml><?xml version="1.0" encoding="utf-8"?>
<sst xmlns="http://schemas.openxmlformats.org/spreadsheetml/2006/main" count="26" uniqueCount="21">
  <si>
    <t>year</t>
  </si>
  <si>
    <t>month</t>
  </si>
  <si>
    <t>start_date</t>
  </si>
  <si>
    <t>mean_daily_precip_mm</t>
  </si>
  <si>
    <t>total_expected_precip_mm</t>
  </si>
  <si>
    <t>total_sites</t>
  </si>
  <si>
    <t>total_observations</t>
  </si>
  <si>
    <t>Month</t>
  </si>
  <si>
    <t>Year</t>
  </si>
  <si>
    <t>Average</t>
  </si>
  <si>
    <t>total_expected</t>
  </si>
  <si>
    <t>Winter</t>
  </si>
  <si>
    <t>Spring</t>
  </si>
  <si>
    <t>Summer</t>
  </si>
  <si>
    <t>Autumn</t>
  </si>
  <si>
    <t>Sum</t>
  </si>
  <si>
    <t>Total</t>
  </si>
  <si>
    <t>Proportion</t>
  </si>
  <si>
    <t xml:space="preserve">Possible Answers: </t>
  </si>
  <si>
    <t>Citizens do not want to take measurements during the winter months</t>
  </si>
  <si>
    <t>Citizens tend to make more measurements in months with more 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</si>
</sst>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Expected Precipitation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precip_monthly!$X$2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precip_monthly!$W$3:$W$14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precip_monthly!$X$3:$X$14</c:f>
              <c:numCache>
                <c:formatCode>General</c:formatCode>
                <c:ptCount val="12"/>
                <c:pt idx="0">
                  <c:v>10.585590149135161</c:v>
                </c:pt>
                <c:pt idx="1">
                  <c:v>22.299806847696235</c:v>
                </c:pt>
                <c:pt idx="2">
                  <c:v>30.16484210233191</c:v>
                </c:pt>
                <c:pt idx="3">
                  <c:v>66.409829156628959</c:v>
                </c:pt>
                <c:pt idx="4">
                  <c:v>125.5621107734604</c:v>
                </c:pt>
                <c:pt idx="5">
                  <c:v>212.91203620309005</c:v>
                </c:pt>
                <c:pt idx="6">
                  <c:v>373.2958784067568</c:v>
                </c:pt>
                <c:pt idx="7">
                  <c:v>307.99386048639087</c:v>
                </c:pt>
                <c:pt idx="8">
                  <c:v>201.92324186374933</c:v>
                </c:pt>
                <c:pt idx="9">
                  <c:v>106.81679659290437</c:v>
                </c:pt>
                <c:pt idx="10">
                  <c:v>5.2747073212401467</c:v>
                </c:pt>
                <c:pt idx="11">
                  <c:v>6.6162268227657615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8B-4578-9865-F2CE2C872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-4"/>
        <c:axId val="647886863"/>
        <c:axId val="518729807"/>
      </c:barChart>
      <c:catAx>
        <c:axId val="647886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729807"/>
        <c:crosses val="autoZero"/>
        <c:auto val="1"/>
        <c:lblAlgn val="ctr"/>
        <c:lblOffset val="100"/>
        <c:noMultiLvlLbl val="0"/>
      </c:catAx>
      <c:valAx>
        <c:axId val="51872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Expected  Precipitation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886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Precipitation</a:t>
            </a:r>
            <a:r>
              <a:rPr lang="en-US" baseline="0"/>
              <a:t> Measurements By Season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precip_monthly!$AA$19:$AA$22</c:f>
              <c:strCache>
                <c:ptCount val="4"/>
                <c:pt idx="0">
                  <c:v>Winter</c:v>
                </c:pt>
                <c:pt idx="1">
                  <c:v>Spring</c:v>
                </c:pt>
                <c:pt idx="2">
                  <c:v>Summer</c:v>
                </c:pt>
                <c:pt idx="3">
                  <c:v>Autumn</c:v>
                </c:pt>
              </c:strCache>
            </c:strRef>
          </c:cat>
          <c:val>
            <c:numRef>
              <c:f>precip_monthly!$AB$19:$AB$22</c:f>
              <c:numCache>
                <c:formatCode>General</c:formatCode>
                <c:ptCount val="4"/>
                <c:pt idx="0">
                  <c:v>1864</c:v>
                </c:pt>
                <c:pt idx="1">
                  <c:v>11163</c:v>
                </c:pt>
                <c:pt idx="2">
                  <c:v>34869</c:v>
                </c:pt>
                <c:pt idx="3">
                  <c:v>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8-4C23-94F2-C4E8E3113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overlap val="-27"/>
        <c:axId val="710139135"/>
        <c:axId val="518678447"/>
      </c:barChart>
      <c:catAx>
        <c:axId val="71013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78447"/>
        <c:crosses val="autoZero"/>
        <c:auto val="1"/>
        <c:lblAlgn val="ctr"/>
        <c:lblOffset val="100"/>
        <c:noMultiLvlLbl val="0"/>
      </c:catAx>
      <c:valAx>
        <c:axId val="51867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# of Precipitation Measurements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13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178677</xdr:colOff>
      <xdr:row>1</xdr:row>
      <xdr:rowOff>67014</xdr:rowOff>
    </xdr:from>
    <xdr:to>
      <xdr:col>33</xdr:col>
      <xdr:colOff>98963</xdr:colOff>
      <xdr:row>14</xdr:row>
      <xdr:rowOff>82469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551438-A790-1A7E-9516-EBEB40563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427706</xdr:colOff>
      <xdr:row>15</xdr:row>
      <xdr:rowOff>147857</xdr:rowOff>
    </xdr:from>
    <xdr:to>
      <xdr:col>36</xdr:col>
      <xdr:colOff>411319</xdr:colOff>
      <xdr:row>30</xdr:row>
      <xdr:rowOff>75586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3D6D07-873E-23FB-16D2-68D0A8AD6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9A1B-065B-423A-B1DF-1B8D6D6C68E8}">
  <dimension ref="A1:AL116"/>
  <sheetViews>
    <sheetView tabSelected="1" topLeftCell="A5" zoomScale="70" workbookViewId="0">
      <selection activeCell="J30" sqref="J30"/>
    </sheetView>
  </sheetViews>
  <sheetFormatPr defaultRowHeight="14.6" x14ac:dyDescent="0.4"/>
  <sheetData>
    <row r="1" spans="1:2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10</v>
      </c>
      <c r="J1" t="s">
        <v>8</v>
      </c>
    </row>
    <row r="2" spans="1:24" x14ac:dyDescent="0.4">
      <c r="A2">
        <v>2017</v>
      </c>
      <c r="B2">
        <v>1</v>
      </c>
      <c r="C2" s="1">
        <v>42736</v>
      </c>
      <c r="D2">
        <v>0.15590200445434199</v>
      </c>
      <c r="E2">
        <v>4.8329621380846302</v>
      </c>
      <c r="F2">
        <v>11</v>
      </c>
      <c r="G2">
        <v>30</v>
      </c>
      <c r="I2" t="s">
        <v>7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P2">
        <v>2023</v>
      </c>
      <c r="Q2">
        <v>2024</v>
      </c>
      <c r="R2">
        <v>2025</v>
      </c>
      <c r="S2">
        <v>2026</v>
      </c>
      <c r="U2" t="s">
        <v>9</v>
      </c>
      <c r="W2" t="s">
        <v>7</v>
      </c>
      <c r="X2" t="s">
        <v>9</v>
      </c>
    </row>
    <row r="3" spans="1:24" x14ac:dyDescent="0.4">
      <c r="A3">
        <v>2017</v>
      </c>
      <c r="B3">
        <v>2</v>
      </c>
      <c r="C3" s="1">
        <v>42767</v>
      </c>
      <c r="D3">
        <v>0.47176918678611401</v>
      </c>
      <c r="E3">
        <v>13.209537230011099</v>
      </c>
      <c r="F3">
        <v>10</v>
      </c>
      <c r="G3">
        <v>19</v>
      </c>
      <c r="I3">
        <v>1</v>
      </c>
      <c r="J3">
        <v>4.8329621380846302</v>
      </c>
      <c r="K3">
        <v>0</v>
      </c>
      <c r="L3">
        <v>24.372062726750499</v>
      </c>
      <c r="M3">
        <v>49.981364914126097</v>
      </c>
      <c r="N3">
        <v>0.16395724189788</v>
      </c>
      <c r="O3">
        <v>26.505554470492498</v>
      </c>
      <c r="P3">
        <v>0</v>
      </c>
      <c r="Q3">
        <v>0</v>
      </c>
      <c r="R3">
        <v>0</v>
      </c>
      <c r="S3">
        <v>0</v>
      </c>
      <c r="U3">
        <f>AVERAGE(J3:S3)</f>
        <v>10.585590149135161</v>
      </c>
      <c r="W3">
        <v>1</v>
      </c>
      <c r="X3">
        <v>10.585590149135161</v>
      </c>
    </row>
    <row r="4" spans="1:24" x14ac:dyDescent="0.4">
      <c r="A4">
        <v>2017</v>
      </c>
      <c r="B4">
        <v>3</v>
      </c>
      <c r="C4" s="1">
        <v>42795</v>
      </c>
      <c r="D4">
        <v>0.93177881264512197</v>
      </c>
      <c r="E4">
        <v>28.885143191998701</v>
      </c>
      <c r="F4">
        <v>15</v>
      </c>
      <c r="G4">
        <v>39</v>
      </c>
      <c r="I4">
        <v>2</v>
      </c>
      <c r="J4">
        <v>13.209537230011099</v>
      </c>
      <c r="K4">
        <v>0</v>
      </c>
      <c r="L4">
        <v>78.839360815663298</v>
      </c>
      <c r="M4">
        <v>19.560285416372398</v>
      </c>
      <c r="N4">
        <v>5.5790453913410696</v>
      </c>
      <c r="O4">
        <v>68.181349503152902</v>
      </c>
      <c r="P4">
        <v>16.027586206896501</v>
      </c>
      <c r="Q4">
        <v>15.335023542194801</v>
      </c>
      <c r="R4">
        <v>0.76188211437756703</v>
      </c>
      <c r="S4">
        <v>5.5039982569527304</v>
      </c>
      <c r="U4">
        <f t="shared" ref="U4:U14" si="0">AVERAGE(J4:S4)</f>
        <v>22.299806847696235</v>
      </c>
      <c r="W4">
        <v>2</v>
      </c>
      <c r="X4">
        <v>22.299806847696235</v>
      </c>
    </row>
    <row r="5" spans="1:24" x14ac:dyDescent="0.4">
      <c r="A5">
        <v>2017</v>
      </c>
      <c r="B5">
        <v>4</v>
      </c>
      <c r="C5" s="1">
        <v>42826</v>
      </c>
      <c r="D5">
        <v>1.5758089252077701</v>
      </c>
      <c r="E5">
        <v>47.274267756233101</v>
      </c>
      <c r="F5">
        <v>83</v>
      </c>
      <c r="G5">
        <v>238</v>
      </c>
      <c r="I5">
        <v>3</v>
      </c>
      <c r="J5">
        <v>28.885143191998701</v>
      </c>
      <c r="K5">
        <v>29.482454095381598</v>
      </c>
      <c r="L5">
        <v>44.667994758216999</v>
      </c>
      <c r="M5">
        <v>23.632211431520599</v>
      </c>
      <c r="N5">
        <v>12.9434232148039</v>
      </c>
      <c r="O5">
        <v>0</v>
      </c>
      <c r="P5">
        <v>35.513443936560101</v>
      </c>
      <c r="Q5">
        <v>63.402903150596501</v>
      </c>
      <c r="R5">
        <v>9.4843863009074401</v>
      </c>
      <c r="S5">
        <v>53.636460943333297</v>
      </c>
      <c r="U5">
        <f t="shared" si="0"/>
        <v>30.16484210233191</v>
      </c>
      <c r="W5">
        <v>3</v>
      </c>
      <c r="X5">
        <v>30.16484210233191</v>
      </c>
    </row>
    <row r="6" spans="1:24" x14ac:dyDescent="0.4">
      <c r="A6">
        <v>2017</v>
      </c>
      <c r="B6">
        <v>5</v>
      </c>
      <c r="C6" s="1">
        <v>42856</v>
      </c>
      <c r="D6">
        <v>1.2482655513632399</v>
      </c>
      <c r="E6">
        <v>38.696232092260402</v>
      </c>
      <c r="F6">
        <v>143</v>
      </c>
      <c r="G6">
        <v>728</v>
      </c>
      <c r="I6">
        <v>4</v>
      </c>
      <c r="J6">
        <v>47.274267756233101</v>
      </c>
      <c r="K6">
        <v>95.945332335584496</v>
      </c>
      <c r="L6">
        <v>78.439906015640602</v>
      </c>
      <c r="M6">
        <v>75.842541397841103</v>
      </c>
      <c r="N6">
        <v>56.399306612106201</v>
      </c>
      <c r="O6">
        <v>21.306395315164298</v>
      </c>
      <c r="P6">
        <v>98.420696219457696</v>
      </c>
      <c r="Q6">
        <v>2.3925273374999998</v>
      </c>
      <c r="R6">
        <v>85.246905182187206</v>
      </c>
      <c r="S6">
        <v>102.830413394575</v>
      </c>
      <c r="U6">
        <f t="shared" si="0"/>
        <v>66.409829156628959</v>
      </c>
      <c r="W6">
        <v>4</v>
      </c>
      <c r="X6">
        <v>66.409829156628959</v>
      </c>
    </row>
    <row r="7" spans="1:24" x14ac:dyDescent="0.4">
      <c r="A7">
        <v>2017</v>
      </c>
      <c r="B7">
        <v>6</v>
      </c>
      <c r="C7" s="1">
        <v>42887</v>
      </c>
      <c r="D7">
        <v>2.7640720379159198</v>
      </c>
      <c r="E7">
        <v>82.922161137477701</v>
      </c>
      <c r="F7">
        <v>168</v>
      </c>
      <c r="G7">
        <v>813</v>
      </c>
      <c r="I7">
        <v>5</v>
      </c>
      <c r="J7">
        <v>38.696232092260402</v>
      </c>
      <c r="K7">
        <v>133.72076775847901</v>
      </c>
      <c r="L7">
        <v>90.9002653258664</v>
      </c>
      <c r="M7">
        <v>145.08335711673399</v>
      </c>
      <c r="N7">
        <v>177.039693318204</v>
      </c>
      <c r="O7">
        <v>204.789831985246</v>
      </c>
      <c r="P7">
        <v>82.461090727423993</v>
      </c>
      <c r="Q7">
        <v>72.653790759840106</v>
      </c>
      <c r="R7">
        <v>152.09557281583901</v>
      </c>
      <c r="S7">
        <v>158.180505834711</v>
      </c>
      <c r="U7">
        <f t="shared" si="0"/>
        <v>125.5621107734604</v>
      </c>
      <c r="W7">
        <v>5</v>
      </c>
      <c r="X7">
        <v>125.5621107734604</v>
      </c>
    </row>
    <row r="8" spans="1:24" x14ac:dyDescent="0.4">
      <c r="A8">
        <v>2017</v>
      </c>
      <c r="B8">
        <v>7</v>
      </c>
      <c r="C8" s="1">
        <v>42917</v>
      </c>
      <c r="D8">
        <v>3.6569023355766501</v>
      </c>
      <c r="E8">
        <v>113.363972402876</v>
      </c>
      <c r="F8">
        <v>193</v>
      </c>
      <c r="G8">
        <v>1245</v>
      </c>
      <c r="I8">
        <v>6</v>
      </c>
      <c r="J8">
        <v>82.922161137477701</v>
      </c>
      <c r="K8">
        <v>215.019746488815</v>
      </c>
      <c r="L8">
        <v>125.48894527978599</v>
      </c>
      <c r="M8">
        <v>302.82991481845897</v>
      </c>
      <c r="N8">
        <v>246.800798664448</v>
      </c>
      <c r="O8">
        <v>343.17846445972401</v>
      </c>
      <c r="P8">
        <v>211.955100234318</v>
      </c>
      <c r="Q8">
        <v>202.56201353011599</v>
      </c>
      <c r="R8">
        <v>280.34583428772299</v>
      </c>
      <c r="S8">
        <v>118.01738313003401</v>
      </c>
      <c r="U8">
        <f t="shared" si="0"/>
        <v>212.91203620309005</v>
      </c>
      <c r="W8">
        <v>6</v>
      </c>
      <c r="X8">
        <v>212.91203620309005</v>
      </c>
    </row>
    <row r="9" spans="1:24" x14ac:dyDescent="0.4">
      <c r="A9">
        <v>2017</v>
      </c>
      <c r="B9">
        <v>8</v>
      </c>
      <c r="C9" s="1">
        <v>42948</v>
      </c>
      <c r="D9">
        <v>4.2597782550700796</v>
      </c>
      <c r="E9">
        <v>132.05312590717199</v>
      </c>
      <c r="F9">
        <v>196</v>
      </c>
      <c r="G9">
        <v>1246</v>
      </c>
      <c r="I9">
        <v>7</v>
      </c>
      <c r="J9">
        <v>113.363972402876</v>
      </c>
      <c r="K9">
        <v>382.87706533632399</v>
      </c>
      <c r="L9">
        <v>383.67490309073401</v>
      </c>
      <c r="M9">
        <v>405.06855117700502</v>
      </c>
      <c r="N9">
        <v>434.243814042015</v>
      </c>
      <c r="O9">
        <v>345.53815195615198</v>
      </c>
      <c r="P9">
        <v>326.97531601097398</v>
      </c>
      <c r="Q9">
        <v>628.82766449650501</v>
      </c>
      <c r="R9">
        <v>262.31809424334898</v>
      </c>
      <c r="S9">
        <v>450.071251311634</v>
      </c>
      <c r="U9">
        <f t="shared" si="0"/>
        <v>373.2958784067568</v>
      </c>
      <c r="W9">
        <v>7</v>
      </c>
      <c r="X9">
        <v>373.2958784067568</v>
      </c>
    </row>
    <row r="10" spans="1:24" x14ac:dyDescent="0.4">
      <c r="A10">
        <v>2017</v>
      </c>
      <c r="B10">
        <v>9</v>
      </c>
      <c r="C10" s="1">
        <v>42979</v>
      </c>
      <c r="D10">
        <v>1.61726609056647</v>
      </c>
      <c r="E10">
        <v>48.517982716994197</v>
      </c>
      <c r="F10">
        <v>146</v>
      </c>
      <c r="G10">
        <v>666</v>
      </c>
      <c r="I10">
        <v>8</v>
      </c>
      <c r="J10">
        <v>132.05312590717199</v>
      </c>
      <c r="K10">
        <v>434.31325540484102</v>
      </c>
      <c r="L10">
        <v>261.20370897737399</v>
      </c>
      <c r="M10">
        <v>257.49393324606001</v>
      </c>
      <c r="N10">
        <v>330.42976876128398</v>
      </c>
      <c r="O10">
        <v>290.17039053876903</v>
      </c>
      <c r="P10">
        <v>331.51789361001801</v>
      </c>
      <c r="Q10">
        <v>398.62962923908202</v>
      </c>
      <c r="R10">
        <v>336.13303869291798</v>
      </c>
      <c r="U10">
        <f t="shared" si="0"/>
        <v>307.99386048639087</v>
      </c>
      <c r="W10">
        <v>8</v>
      </c>
      <c r="X10">
        <v>307.99386048639087</v>
      </c>
    </row>
    <row r="11" spans="1:24" x14ac:dyDescent="0.4">
      <c r="A11">
        <v>2017</v>
      </c>
      <c r="B11">
        <v>10</v>
      </c>
      <c r="C11" s="1">
        <v>43009</v>
      </c>
      <c r="D11">
        <v>0.31474441597876801</v>
      </c>
      <c r="E11">
        <v>9.7570768953418305</v>
      </c>
      <c r="F11">
        <v>76</v>
      </c>
      <c r="G11">
        <v>285</v>
      </c>
      <c r="I11">
        <v>9</v>
      </c>
      <c r="J11">
        <v>48.517982716994197</v>
      </c>
      <c r="K11">
        <v>173.69080405001301</v>
      </c>
      <c r="L11">
        <v>286.37239821103702</v>
      </c>
      <c r="M11">
        <v>237.38132621492201</v>
      </c>
      <c r="N11">
        <v>193.79413397144799</v>
      </c>
      <c r="O11">
        <v>244.618448444081</v>
      </c>
      <c r="P11">
        <v>155.49008232109699</v>
      </c>
      <c r="Q11">
        <v>291.64457219082499</v>
      </c>
      <c r="R11">
        <v>185.799428653327</v>
      </c>
      <c r="U11">
        <f t="shared" si="0"/>
        <v>201.92324186374933</v>
      </c>
      <c r="W11">
        <v>9</v>
      </c>
      <c r="X11">
        <v>201.92324186374933</v>
      </c>
    </row>
    <row r="12" spans="1:24" x14ac:dyDescent="0.4">
      <c r="A12">
        <v>2017</v>
      </c>
      <c r="B12">
        <v>11</v>
      </c>
      <c r="C12" s="1">
        <v>43040</v>
      </c>
      <c r="D12">
        <v>5.1850615362217497E-3</v>
      </c>
      <c r="E12">
        <v>0.15555184608665201</v>
      </c>
      <c r="F12">
        <v>43</v>
      </c>
      <c r="G12">
        <v>159</v>
      </c>
      <c r="I12">
        <v>10</v>
      </c>
      <c r="J12">
        <v>9.7570768953418305</v>
      </c>
      <c r="K12">
        <v>41.840589105650501</v>
      </c>
      <c r="L12">
        <v>28.595611382238499</v>
      </c>
      <c r="M12">
        <v>4.9337637150755898</v>
      </c>
      <c r="N12">
        <v>83.649683864063107</v>
      </c>
      <c r="O12">
        <v>253.80455858525701</v>
      </c>
      <c r="P12">
        <v>242.602787362893</v>
      </c>
      <c r="Q12">
        <v>45.186153665023802</v>
      </c>
      <c r="R12">
        <v>250.980944760596</v>
      </c>
      <c r="U12">
        <f t="shared" si="0"/>
        <v>106.81679659290437</v>
      </c>
      <c r="W12">
        <v>10</v>
      </c>
      <c r="X12">
        <v>106.81679659290437</v>
      </c>
    </row>
    <row r="13" spans="1:24" x14ac:dyDescent="0.4">
      <c r="A13">
        <v>2017</v>
      </c>
      <c r="B13">
        <v>12</v>
      </c>
      <c r="C13" s="1">
        <v>43070</v>
      </c>
      <c r="D13">
        <v>0</v>
      </c>
      <c r="E13">
        <v>0</v>
      </c>
      <c r="F13">
        <v>13</v>
      </c>
      <c r="G13">
        <v>67</v>
      </c>
      <c r="I13">
        <v>11</v>
      </c>
      <c r="J13">
        <v>0.15555184608665201</v>
      </c>
      <c r="K13">
        <v>0</v>
      </c>
      <c r="L13">
        <v>1.8359107607676199</v>
      </c>
      <c r="M13">
        <v>8.7183958151700006E-2</v>
      </c>
      <c r="N13">
        <v>0</v>
      </c>
      <c r="O13">
        <v>0</v>
      </c>
      <c r="P13">
        <v>0.54524504614695302</v>
      </c>
      <c r="Q13">
        <v>10.706253734132201</v>
      </c>
      <c r="R13">
        <v>34.142220545876199</v>
      </c>
      <c r="U13">
        <f t="shared" si="0"/>
        <v>5.2747073212401467</v>
      </c>
      <c r="W13">
        <v>11</v>
      </c>
      <c r="X13">
        <v>5.2747073212401467</v>
      </c>
    </row>
    <row r="14" spans="1:24" x14ac:dyDescent="0.4">
      <c r="A14">
        <v>2018</v>
      </c>
      <c r="B14">
        <v>1</v>
      </c>
      <c r="C14" s="1">
        <v>43101</v>
      </c>
      <c r="D14">
        <v>0</v>
      </c>
      <c r="E14">
        <v>0</v>
      </c>
      <c r="F14">
        <v>11</v>
      </c>
      <c r="G14">
        <v>43</v>
      </c>
      <c r="I14">
        <v>12</v>
      </c>
      <c r="J14">
        <v>0</v>
      </c>
      <c r="K14">
        <v>0</v>
      </c>
      <c r="L14">
        <v>27.040594656487801</v>
      </c>
      <c r="M14">
        <v>0</v>
      </c>
      <c r="N14">
        <v>32.254129358862102</v>
      </c>
      <c r="O14">
        <v>0</v>
      </c>
      <c r="P14">
        <v>0</v>
      </c>
      <c r="Q14">
        <v>0.25131738954195298</v>
      </c>
      <c r="R14">
        <v>0</v>
      </c>
      <c r="U14">
        <f t="shared" si="0"/>
        <v>6.6162268227657615</v>
      </c>
      <c r="W14">
        <v>12</v>
      </c>
      <c r="X14">
        <v>6.6162268227657615</v>
      </c>
    </row>
    <row r="15" spans="1:24" x14ac:dyDescent="0.4">
      <c r="A15">
        <v>2018</v>
      </c>
      <c r="B15">
        <v>2</v>
      </c>
      <c r="C15" s="1">
        <v>43132</v>
      </c>
      <c r="D15">
        <v>0</v>
      </c>
      <c r="E15">
        <v>0</v>
      </c>
      <c r="F15">
        <v>2</v>
      </c>
      <c r="G15">
        <v>23</v>
      </c>
    </row>
    <row r="16" spans="1:24" x14ac:dyDescent="0.4">
      <c r="A16">
        <v>2018</v>
      </c>
      <c r="B16">
        <v>3</v>
      </c>
      <c r="C16" s="1">
        <v>43160</v>
      </c>
      <c r="D16">
        <v>0.951046906302632</v>
      </c>
      <c r="E16">
        <v>29.482454095381598</v>
      </c>
      <c r="F16">
        <v>4</v>
      </c>
      <c r="G16">
        <v>41</v>
      </c>
    </row>
    <row r="17" spans="1:38" x14ac:dyDescent="0.4">
      <c r="A17">
        <v>2018</v>
      </c>
      <c r="B17">
        <v>4</v>
      </c>
      <c r="C17" s="1">
        <v>43191</v>
      </c>
      <c r="D17">
        <v>3.1981777445194801</v>
      </c>
      <c r="E17">
        <v>95.945332335584496</v>
      </c>
      <c r="F17">
        <v>34</v>
      </c>
      <c r="G17">
        <v>191</v>
      </c>
      <c r="I17" t="s">
        <v>7</v>
      </c>
      <c r="J17">
        <v>2017</v>
      </c>
      <c r="K17">
        <v>2018</v>
      </c>
      <c r="L17">
        <v>2019</v>
      </c>
      <c r="M17">
        <v>2020</v>
      </c>
      <c r="N17">
        <v>2021</v>
      </c>
      <c r="O17">
        <v>2022</v>
      </c>
      <c r="P17">
        <v>2023</v>
      </c>
      <c r="Q17">
        <v>2024</v>
      </c>
      <c r="R17">
        <v>2025</v>
      </c>
      <c r="S17">
        <v>2026</v>
      </c>
      <c r="U17" t="s">
        <v>15</v>
      </c>
      <c r="W17" t="s">
        <v>7</v>
      </c>
      <c r="X17" t="s">
        <v>15</v>
      </c>
    </row>
    <row r="18" spans="1:38" x14ac:dyDescent="0.4">
      <c r="A18">
        <v>2018</v>
      </c>
      <c r="B18">
        <v>5</v>
      </c>
      <c r="C18" s="1">
        <v>43221</v>
      </c>
      <c r="D18">
        <v>4.3135731534993402</v>
      </c>
      <c r="E18">
        <v>133.72076775847901</v>
      </c>
      <c r="F18">
        <v>102</v>
      </c>
      <c r="G18">
        <v>1191</v>
      </c>
      <c r="I18">
        <v>1</v>
      </c>
      <c r="J18">
        <v>30</v>
      </c>
      <c r="K18">
        <v>43</v>
      </c>
      <c r="L18">
        <v>221</v>
      </c>
      <c r="M18">
        <v>155</v>
      </c>
      <c r="N18">
        <v>108</v>
      </c>
      <c r="O18">
        <v>21</v>
      </c>
      <c r="P18">
        <v>3</v>
      </c>
      <c r="Q18">
        <v>1</v>
      </c>
      <c r="R18">
        <v>52</v>
      </c>
      <c r="S18">
        <v>27</v>
      </c>
      <c r="U18">
        <f>SUM(J18:S18)</f>
        <v>661</v>
      </c>
      <c r="W18">
        <v>1</v>
      </c>
      <c r="X18">
        <v>661</v>
      </c>
      <c r="AB18" t="s">
        <v>16</v>
      </c>
      <c r="AC18" t="s">
        <v>17</v>
      </c>
    </row>
    <row r="19" spans="1:38" x14ac:dyDescent="0.4">
      <c r="A19">
        <v>2018</v>
      </c>
      <c r="B19">
        <v>6</v>
      </c>
      <c r="C19" s="1">
        <v>43252</v>
      </c>
      <c r="D19">
        <v>7.1673248829605001</v>
      </c>
      <c r="E19">
        <v>215.019746488815</v>
      </c>
      <c r="F19">
        <v>107</v>
      </c>
      <c r="G19">
        <v>1419</v>
      </c>
      <c r="I19">
        <v>2</v>
      </c>
      <c r="J19">
        <v>19</v>
      </c>
      <c r="K19">
        <v>23</v>
      </c>
      <c r="L19">
        <v>251</v>
      </c>
      <c r="M19">
        <v>136</v>
      </c>
      <c r="N19">
        <v>91</v>
      </c>
      <c r="O19">
        <v>14</v>
      </c>
      <c r="P19">
        <v>5</v>
      </c>
      <c r="Q19">
        <v>3</v>
      </c>
      <c r="R19">
        <v>34</v>
      </c>
      <c r="S19">
        <v>27</v>
      </c>
      <c r="U19">
        <f t="shared" ref="U19:U29" si="1">SUM(J19:S19)</f>
        <v>603</v>
      </c>
      <c r="W19">
        <v>2</v>
      </c>
      <c r="X19">
        <v>603</v>
      </c>
      <c r="AA19" t="s">
        <v>11</v>
      </c>
      <c r="AB19">
        <f>SUM(X29,X19,X18)</f>
        <v>1864</v>
      </c>
      <c r="AC19" s="2">
        <f>AB19/AB24</f>
        <v>3.238978957062677E-2</v>
      </c>
    </row>
    <row r="20" spans="1:38" x14ac:dyDescent="0.4">
      <c r="A20">
        <v>2018</v>
      </c>
      <c r="B20">
        <v>7</v>
      </c>
      <c r="C20" s="1">
        <v>43282</v>
      </c>
      <c r="D20">
        <v>12.3508730753652</v>
      </c>
      <c r="E20">
        <v>382.87706533632399</v>
      </c>
      <c r="F20">
        <v>99</v>
      </c>
      <c r="G20">
        <v>1756</v>
      </c>
      <c r="I20">
        <v>3</v>
      </c>
      <c r="J20">
        <v>39</v>
      </c>
      <c r="K20">
        <v>41</v>
      </c>
      <c r="L20">
        <v>341</v>
      </c>
      <c r="M20">
        <v>236</v>
      </c>
      <c r="N20">
        <v>84</v>
      </c>
      <c r="O20">
        <v>9</v>
      </c>
      <c r="P20">
        <v>14</v>
      </c>
      <c r="Q20">
        <v>15</v>
      </c>
      <c r="R20">
        <v>40</v>
      </c>
      <c r="S20">
        <v>50</v>
      </c>
      <c r="U20">
        <f t="shared" si="1"/>
        <v>869</v>
      </c>
      <c r="W20">
        <v>3</v>
      </c>
      <c r="X20">
        <v>869</v>
      </c>
      <c r="AA20" t="s">
        <v>12</v>
      </c>
      <c r="AB20">
        <f>SUM(X20:X22)</f>
        <v>11163</v>
      </c>
      <c r="AC20" s="2">
        <f>AB20/AB24</f>
        <v>0.19397383099619456</v>
      </c>
    </row>
    <row r="21" spans="1:38" x14ac:dyDescent="0.4">
      <c r="A21">
        <v>2018</v>
      </c>
      <c r="B21">
        <v>8</v>
      </c>
      <c r="C21" s="1">
        <v>43313</v>
      </c>
      <c r="D21">
        <v>14.0101050130594</v>
      </c>
      <c r="E21">
        <v>434.31325540484102</v>
      </c>
      <c r="F21">
        <v>99</v>
      </c>
      <c r="G21">
        <v>1598</v>
      </c>
      <c r="I21">
        <v>4</v>
      </c>
      <c r="J21">
        <v>238</v>
      </c>
      <c r="K21">
        <v>191</v>
      </c>
      <c r="L21">
        <v>549</v>
      </c>
      <c r="M21">
        <v>343</v>
      </c>
      <c r="N21">
        <v>109</v>
      </c>
      <c r="O21">
        <v>21</v>
      </c>
      <c r="P21">
        <v>45</v>
      </c>
      <c r="Q21">
        <v>36</v>
      </c>
      <c r="R21">
        <v>63</v>
      </c>
      <c r="S21">
        <v>53</v>
      </c>
      <c r="U21">
        <f t="shared" si="1"/>
        <v>1648</v>
      </c>
      <c r="W21">
        <v>4</v>
      </c>
      <c r="X21">
        <v>1648</v>
      </c>
      <c r="AA21" t="s">
        <v>13</v>
      </c>
      <c r="AB21">
        <f>SUM(X23:X25)</f>
        <v>34869</v>
      </c>
      <c r="AC21" s="2">
        <f>AB21/AB24</f>
        <v>0.60590105822863993</v>
      </c>
    </row>
    <row r="22" spans="1:38" x14ac:dyDescent="0.4">
      <c r="A22">
        <v>2018</v>
      </c>
      <c r="B22">
        <v>9</v>
      </c>
      <c r="C22" s="1">
        <v>43344</v>
      </c>
      <c r="D22">
        <v>5.7896934683337804</v>
      </c>
      <c r="E22">
        <v>173.69080405001301</v>
      </c>
      <c r="F22">
        <v>65</v>
      </c>
      <c r="G22">
        <v>858</v>
      </c>
      <c r="I22">
        <v>5</v>
      </c>
      <c r="J22">
        <v>728</v>
      </c>
      <c r="K22">
        <v>1191</v>
      </c>
      <c r="L22">
        <v>1152</v>
      </c>
      <c r="M22">
        <v>732</v>
      </c>
      <c r="N22">
        <v>1169</v>
      </c>
      <c r="O22">
        <v>1255</v>
      </c>
      <c r="P22">
        <v>1086</v>
      </c>
      <c r="Q22">
        <v>621</v>
      </c>
      <c r="R22">
        <v>416</v>
      </c>
      <c r="S22">
        <v>296</v>
      </c>
      <c r="U22">
        <f t="shared" si="1"/>
        <v>8646</v>
      </c>
      <c r="W22">
        <v>5</v>
      </c>
      <c r="X22">
        <v>8646</v>
      </c>
      <c r="AA22" t="s">
        <v>14</v>
      </c>
      <c r="AB22">
        <f>SUM(X26:X28)</f>
        <v>9653</v>
      </c>
      <c r="AC22" s="2">
        <f>AB22/AB24</f>
        <v>0.16773532120453874</v>
      </c>
    </row>
    <row r="23" spans="1:38" x14ac:dyDescent="0.4">
      <c r="A23">
        <v>2018</v>
      </c>
      <c r="B23">
        <v>10</v>
      </c>
      <c r="C23" s="1">
        <v>43374</v>
      </c>
      <c r="D23">
        <v>1.34969642276292</v>
      </c>
      <c r="E23">
        <v>41.840589105650501</v>
      </c>
      <c r="F23">
        <v>23</v>
      </c>
      <c r="G23">
        <v>275</v>
      </c>
      <c r="I23">
        <v>6</v>
      </c>
      <c r="J23">
        <v>813</v>
      </c>
      <c r="K23">
        <v>1419</v>
      </c>
      <c r="L23">
        <v>1384</v>
      </c>
      <c r="M23">
        <v>945</v>
      </c>
      <c r="N23">
        <v>1288</v>
      </c>
      <c r="O23">
        <v>1991</v>
      </c>
      <c r="P23">
        <v>1472</v>
      </c>
      <c r="Q23">
        <v>1062</v>
      </c>
      <c r="R23">
        <v>714</v>
      </c>
      <c r="S23">
        <v>599</v>
      </c>
      <c r="U23">
        <f t="shared" si="1"/>
        <v>11687</v>
      </c>
      <c r="W23">
        <v>6</v>
      </c>
      <c r="X23">
        <v>11687</v>
      </c>
      <c r="AL23" t="s">
        <v>18</v>
      </c>
    </row>
    <row r="24" spans="1:38" x14ac:dyDescent="0.4">
      <c r="A24">
        <v>2018</v>
      </c>
      <c r="B24">
        <v>11</v>
      </c>
      <c r="C24" s="1">
        <v>43405</v>
      </c>
      <c r="D24">
        <v>0</v>
      </c>
      <c r="E24">
        <v>0</v>
      </c>
      <c r="F24">
        <v>11</v>
      </c>
      <c r="G24">
        <v>129</v>
      </c>
      <c r="I24">
        <v>7</v>
      </c>
      <c r="J24">
        <v>1245</v>
      </c>
      <c r="K24">
        <v>1756</v>
      </c>
      <c r="L24">
        <v>1728</v>
      </c>
      <c r="M24">
        <v>970</v>
      </c>
      <c r="N24">
        <v>1206</v>
      </c>
      <c r="O24">
        <v>2084</v>
      </c>
      <c r="P24">
        <v>1653</v>
      </c>
      <c r="Q24">
        <v>1195</v>
      </c>
      <c r="R24">
        <v>703</v>
      </c>
      <c r="S24">
        <v>496</v>
      </c>
      <c r="U24">
        <f t="shared" si="1"/>
        <v>13036</v>
      </c>
      <c r="W24">
        <v>7</v>
      </c>
      <c r="X24">
        <v>13036</v>
      </c>
      <c r="AB24">
        <f>SUM(AB19:AB22)</f>
        <v>57549</v>
      </c>
      <c r="AL24" t="s">
        <v>19</v>
      </c>
    </row>
    <row r="25" spans="1:38" x14ac:dyDescent="0.4">
      <c r="A25">
        <v>2018</v>
      </c>
      <c r="B25">
        <v>12</v>
      </c>
      <c r="C25" s="1">
        <v>43435</v>
      </c>
      <c r="D25">
        <v>0</v>
      </c>
      <c r="E25">
        <v>0</v>
      </c>
      <c r="F25">
        <v>13</v>
      </c>
      <c r="G25">
        <v>156</v>
      </c>
      <c r="I25">
        <v>8</v>
      </c>
      <c r="J25">
        <v>1246</v>
      </c>
      <c r="K25">
        <v>1598</v>
      </c>
      <c r="L25">
        <v>1384</v>
      </c>
      <c r="M25">
        <v>847</v>
      </c>
      <c r="N25">
        <v>901</v>
      </c>
      <c r="O25">
        <v>1473</v>
      </c>
      <c r="P25">
        <v>1301</v>
      </c>
      <c r="Q25">
        <v>793</v>
      </c>
      <c r="R25">
        <v>603</v>
      </c>
      <c r="U25">
        <f t="shared" si="1"/>
        <v>10146</v>
      </c>
      <c r="W25">
        <v>8</v>
      </c>
      <c r="X25">
        <v>10146</v>
      </c>
      <c r="AL25" t="s">
        <v>20</v>
      </c>
    </row>
    <row r="26" spans="1:38" x14ac:dyDescent="0.4">
      <c r="A26">
        <v>2019</v>
      </c>
      <c r="B26">
        <v>1</v>
      </c>
      <c r="C26" s="1">
        <v>43466</v>
      </c>
      <c r="D26">
        <v>0.78619557183066302</v>
      </c>
      <c r="E26">
        <v>24.372062726750499</v>
      </c>
      <c r="F26">
        <v>24</v>
      </c>
      <c r="G26">
        <v>221</v>
      </c>
      <c r="I26">
        <v>9</v>
      </c>
      <c r="J26">
        <v>666</v>
      </c>
      <c r="K26">
        <v>858</v>
      </c>
      <c r="L26">
        <v>1070</v>
      </c>
      <c r="M26">
        <v>662</v>
      </c>
      <c r="N26">
        <v>602</v>
      </c>
      <c r="O26">
        <v>1036</v>
      </c>
      <c r="P26">
        <v>836</v>
      </c>
      <c r="Q26">
        <v>427</v>
      </c>
      <c r="R26">
        <v>376</v>
      </c>
      <c r="U26">
        <f t="shared" si="1"/>
        <v>6533</v>
      </c>
      <c r="W26">
        <v>9</v>
      </c>
      <c r="X26">
        <v>6533</v>
      </c>
    </row>
    <row r="27" spans="1:38" x14ac:dyDescent="0.4">
      <c r="A27">
        <v>2019</v>
      </c>
      <c r="B27">
        <v>2</v>
      </c>
      <c r="C27" s="1">
        <v>43497</v>
      </c>
      <c r="D27">
        <v>2.8156914577022598</v>
      </c>
      <c r="E27">
        <v>78.839360815663298</v>
      </c>
      <c r="F27">
        <v>23</v>
      </c>
      <c r="G27">
        <v>251</v>
      </c>
      <c r="I27">
        <v>10</v>
      </c>
      <c r="J27">
        <v>285</v>
      </c>
      <c r="K27">
        <v>275</v>
      </c>
      <c r="L27">
        <v>412</v>
      </c>
      <c r="M27">
        <v>325</v>
      </c>
      <c r="N27">
        <v>231</v>
      </c>
      <c r="O27">
        <v>163</v>
      </c>
      <c r="P27">
        <v>229</v>
      </c>
      <c r="Q27">
        <v>153</v>
      </c>
      <c r="R27">
        <v>147</v>
      </c>
      <c r="U27">
        <f t="shared" si="1"/>
        <v>2220</v>
      </c>
      <c r="W27">
        <v>10</v>
      </c>
      <c r="X27">
        <v>2220</v>
      </c>
    </row>
    <row r="28" spans="1:38" x14ac:dyDescent="0.4">
      <c r="A28">
        <v>2019</v>
      </c>
      <c r="B28">
        <v>3</v>
      </c>
      <c r="C28" s="1">
        <v>43525</v>
      </c>
      <c r="D28">
        <v>1.4409030567166701</v>
      </c>
      <c r="E28">
        <v>44.667994758216999</v>
      </c>
      <c r="F28">
        <v>23</v>
      </c>
      <c r="G28">
        <v>341</v>
      </c>
      <c r="I28">
        <v>11</v>
      </c>
      <c r="J28">
        <v>159</v>
      </c>
      <c r="K28">
        <v>129</v>
      </c>
      <c r="L28">
        <v>214</v>
      </c>
      <c r="M28">
        <v>150</v>
      </c>
      <c r="N28">
        <v>58</v>
      </c>
      <c r="O28">
        <v>27</v>
      </c>
      <c r="P28">
        <v>26</v>
      </c>
      <c r="Q28">
        <v>109</v>
      </c>
      <c r="R28">
        <v>28</v>
      </c>
      <c r="U28">
        <f t="shared" si="1"/>
        <v>900</v>
      </c>
      <c r="W28">
        <v>11</v>
      </c>
      <c r="X28">
        <v>900</v>
      </c>
    </row>
    <row r="29" spans="1:38" x14ac:dyDescent="0.4">
      <c r="A29">
        <v>2019</v>
      </c>
      <c r="B29">
        <v>4</v>
      </c>
      <c r="C29" s="1">
        <v>43556</v>
      </c>
      <c r="D29">
        <v>2.6146635338546802</v>
      </c>
      <c r="E29">
        <v>78.439906015640602</v>
      </c>
      <c r="F29">
        <v>52</v>
      </c>
      <c r="G29">
        <v>549</v>
      </c>
      <c r="I29">
        <v>12</v>
      </c>
      <c r="J29">
        <v>67</v>
      </c>
      <c r="K29">
        <v>156</v>
      </c>
      <c r="L29">
        <v>113</v>
      </c>
      <c r="M29">
        <v>131</v>
      </c>
      <c r="N29">
        <v>25</v>
      </c>
      <c r="O29">
        <v>2</v>
      </c>
      <c r="P29">
        <v>2</v>
      </c>
      <c r="Q29">
        <v>79</v>
      </c>
      <c r="R29">
        <v>25</v>
      </c>
      <c r="U29">
        <f t="shared" si="1"/>
        <v>600</v>
      </c>
      <c r="W29">
        <v>12</v>
      </c>
      <c r="X29">
        <v>600</v>
      </c>
    </row>
    <row r="30" spans="1:38" x14ac:dyDescent="0.4">
      <c r="A30">
        <v>2019</v>
      </c>
      <c r="B30">
        <v>5</v>
      </c>
      <c r="C30" s="1">
        <v>43586</v>
      </c>
      <c r="D30">
        <v>2.9322666234150399</v>
      </c>
      <c r="E30">
        <v>90.9002653258664</v>
      </c>
      <c r="F30">
        <v>83</v>
      </c>
      <c r="G30">
        <v>1152</v>
      </c>
    </row>
    <row r="31" spans="1:38" x14ac:dyDescent="0.4">
      <c r="A31">
        <v>2019</v>
      </c>
      <c r="B31">
        <v>6</v>
      </c>
      <c r="C31" s="1">
        <v>43617</v>
      </c>
      <c r="D31">
        <v>4.1829648426595503</v>
      </c>
      <c r="E31">
        <v>125.48894527978599</v>
      </c>
      <c r="F31">
        <v>82</v>
      </c>
      <c r="G31">
        <v>1384</v>
      </c>
    </row>
    <row r="32" spans="1:38" x14ac:dyDescent="0.4">
      <c r="A32">
        <v>2019</v>
      </c>
      <c r="B32">
        <v>7</v>
      </c>
      <c r="C32" s="1">
        <v>43647</v>
      </c>
      <c r="D32">
        <v>12.3766097771204</v>
      </c>
      <c r="E32">
        <v>383.67490309073401</v>
      </c>
      <c r="F32">
        <v>88</v>
      </c>
      <c r="G32">
        <v>1728</v>
      </c>
    </row>
    <row r="33" spans="1:7" x14ac:dyDescent="0.4">
      <c r="A33">
        <v>2019</v>
      </c>
      <c r="B33">
        <v>8</v>
      </c>
      <c r="C33" s="1">
        <v>43678</v>
      </c>
      <c r="D33">
        <v>8.4259260960443498</v>
      </c>
      <c r="E33">
        <v>261.20370897737399</v>
      </c>
      <c r="F33">
        <v>71</v>
      </c>
      <c r="G33">
        <v>1384</v>
      </c>
    </row>
    <row r="34" spans="1:7" x14ac:dyDescent="0.4">
      <c r="A34">
        <v>2019</v>
      </c>
      <c r="B34">
        <v>9</v>
      </c>
      <c r="C34" s="1">
        <v>43709</v>
      </c>
      <c r="D34">
        <v>9.5457466070345696</v>
      </c>
      <c r="E34">
        <v>286.37239821103702</v>
      </c>
      <c r="F34">
        <v>61</v>
      </c>
      <c r="G34">
        <v>1070</v>
      </c>
    </row>
    <row r="35" spans="1:7" x14ac:dyDescent="0.4">
      <c r="A35">
        <v>2019</v>
      </c>
      <c r="B35">
        <v>10</v>
      </c>
      <c r="C35" s="1">
        <v>43739</v>
      </c>
      <c r="D35">
        <v>0.92243907684640503</v>
      </c>
      <c r="E35">
        <v>28.595611382238499</v>
      </c>
      <c r="F35">
        <v>38</v>
      </c>
      <c r="G35">
        <v>412</v>
      </c>
    </row>
    <row r="36" spans="1:7" x14ac:dyDescent="0.4">
      <c r="A36">
        <v>2019</v>
      </c>
      <c r="B36">
        <v>11</v>
      </c>
      <c r="C36" s="1">
        <v>43770</v>
      </c>
      <c r="D36">
        <v>6.1197025358920902E-2</v>
      </c>
      <c r="E36">
        <v>1.8359107607676199</v>
      </c>
      <c r="F36">
        <v>27</v>
      </c>
      <c r="G36">
        <v>214</v>
      </c>
    </row>
    <row r="37" spans="1:7" x14ac:dyDescent="0.4">
      <c r="A37">
        <v>2019</v>
      </c>
      <c r="B37">
        <v>12</v>
      </c>
      <c r="C37" s="1">
        <v>43800</v>
      </c>
      <c r="D37">
        <v>0.87227724698347697</v>
      </c>
      <c r="E37">
        <v>27.040594656487801</v>
      </c>
      <c r="F37">
        <v>26</v>
      </c>
      <c r="G37">
        <v>113</v>
      </c>
    </row>
    <row r="38" spans="1:7" x14ac:dyDescent="0.4">
      <c r="A38">
        <v>2020</v>
      </c>
      <c r="B38">
        <v>1</v>
      </c>
      <c r="C38" s="1">
        <v>43831</v>
      </c>
      <c r="D38">
        <v>1.61230209400406</v>
      </c>
      <c r="E38">
        <v>49.981364914126097</v>
      </c>
      <c r="F38">
        <v>26</v>
      </c>
      <c r="G38">
        <v>155</v>
      </c>
    </row>
    <row r="39" spans="1:7" x14ac:dyDescent="0.4">
      <c r="A39">
        <v>2020</v>
      </c>
      <c r="B39">
        <v>2</v>
      </c>
      <c r="C39" s="1">
        <v>43862</v>
      </c>
      <c r="D39">
        <v>0.67449260056456695</v>
      </c>
      <c r="E39">
        <v>19.560285416372398</v>
      </c>
      <c r="F39">
        <v>21</v>
      </c>
      <c r="G39">
        <v>136</v>
      </c>
    </row>
    <row r="40" spans="1:7" x14ac:dyDescent="0.4">
      <c r="A40">
        <v>2020</v>
      </c>
      <c r="B40">
        <v>3</v>
      </c>
      <c r="C40" s="1">
        <v>43891</v>
      </c>
      <c r="D40">
        <v>0.76232940101679603</v>
      </c>
      <c r="E40">
        <v>23.632211431520599</v>
      </c>
      <c r="F40">
        <v>25</v>
      </c>
      <c r="G40">
        <v>236</v>
      </c>
    </row>
    <row r="41" spans="1:7" x14ac:dyDescent="0.4">
      <c r="A41">
        <v>2020</v>
      </c>
      <c r="B41">
        <v>4</v>
      </c>
      <c r="C41" s="1">
        <v>43922</v>
      </c>
      <c r="D41">
        <v>2.5280847132613702</v>
      </c>
      <c r="E41">
        <v>75.842541397841103</v>
      </c>
      <c r="F41">
        <v>29</v>
      </c>
      <c r="G41">
        <v>343</v>
      </c>
    </row>
    <row r="42" spans="1:7" x14ac:dyDescent="0.4">
      <c r="A42">
        <v>2020</v>
      </c>
      <c r="B42">
        <v>5</v>
      </c>
      <c r="C42" s="1">
        <v>43952</v>
      </c>
      <c r="D42">
        <v>4.6801082940882202</v>
      </c>
      <c r="E42">
        <v>145.08335711673399</v>
      </c>
      <c r="F42">
        <v>52</v>
      </c>
      <c r="G42">
        <v>732</v>
      </c>
    </row>
    <row r="43" spans="1:7" x14ac:dyDescent="0.4">
      <c r="A43">
        <v>2020</v>
      </c>
      <c r="B43">
        <v>6</v>
      </c>
      <c r="C43" s="1">
        <v>43983</v>
      </c>
      <c r="D43">
        <v>10.0943304939486</v>
      </c>
      <c r="E43">
        <v>302.82991481845897</v>
      </c>
      <c r="F43">
        <v>50</v>
      </c>
      <c r="G43">
        <v>945</v>
      </c>
    </row>
    <row r="44" spans="1:7" x14ac:dyDescent="0.4">
      <c r="A44">
        <v>2020</v>
      </c>
      <c r="B44">
        <v>7</v>
      </c>
      <c r="C44" s="1">
        <v>44013</v>
      </c>
      <c r="D44">
        <v>13.066727457322701</v>
      </c>
      <c r="E44">
        <v>405.06855117700502</v>
      </c>
      <c r="F44">
        <v>59</v>
      </c>
      <c r="G44">
        <v>970</v>
      </c>
    </row>
    <row r="45" spans="1:7" x14ac:dyDescent="0.4">
      <c r="A45">
        <v>2020</v>
      </c>
      <c r="B45">
        <v>8</v>
      </c>
      <c r="C45" s="1">
        <v>44044</v>
      </c>
      <c r="D45">
        <v>8.3062559111632499</v>
      </c>
      <c r="E45">
        <v>257.49393324606001</v>
      </c>
      <c r="F45">
        <v>43</v>
      </c>
      <c r="G45">
        <v>847</v>
      </c>
    </row>
    <row r="46" spans="1:7" x14ac:dyDescent="0.4">
      <c r="A46">
        <v>2020</v>
      </c>
      <c r="B46">
        <v>9</v>
      </c>
      <c r="C46" s="1">
        <v>44075</v>
      </c>
      <c r="D46">
        <v>7.9127108738307497</v>
      </c>
      <c r="E46">
        <v>237.38132621492201</v>
      </c>
      <c r="F46">
        <v>38</v>
      </c>
      <c r="G46">
        <v>662</v>
      </c>
    </row>
    <row r="47" spans="1:7" x14ac:dyDescent="0.4">
      <c r="A47">
        <v>2020</v>
      </c>
      <c r="B47">
        <v>10</v>
      </c>
      <c r="C47" s="1">
        <v>44105</v>
      </c>
      <c r="D47">
        <v>0.15915366822824401</v>
      </c>
      <c r="E47">
        <v>4.9337637150755898</v>
      </c>
      <c r="F47">
        <v>25</v>
      </c>
      <c r="G47">
        <v>325</v>
      </c>
    </row>
    <row r="48" spans="1:7" x14ac:dyDescent="0.4">
      <c r="A48">
        <v>2020</v>
      </c>
      <c r="B48">
        <v>11</v>
      </c>
      <c r="C48" s="1">
        <v>44136</v>
      </c>
      <c r="D48">
        <v>2.90613193839E-3</v>
      </c>
      <c r="E48">
        <v>8.7183958151700006E-2</v>
      </c>
      <c r="F48">
        <v>15</v>
      </c>
      <c r="G48">
        <v>150</v>
      </c>
    </row>
    <row r="49" spans="1:7" x14ac:dyDescent="0.4">
      <c r="A49">
        <v>2020</v>
      </c>
      <c r="B49">
        <v>12</v>
      </c>
      <c r="C49" s="1">
        <v>44166</v>
      </c>
      <c r="D49">
        <v>0</v>
      </c>
      <c r="E49">
        <v>0</v>
      </c>
      <c r="F49">
        <v>13</v>
      </c>
      <c r="G49">
        <v>131</v>
      </c>
    </row>
    <row r="50" spans="1:7" x14ac:dyDescent="0.4">
      <c r="A50">
        <v>2021</v>
      </c>
      <c r="B50">
        <v>1</v>
      </c>
      <c r="C50" s="1">
        <v>44197</v>
      </c>
      <c r="D50">
        <v>5.2889432870284097E-3</v>
      </c>
      <c r="E50">
        <v>0.16395724189788</v>
      </c>
      <c r="F50">
        <v>13</v>
      </c>
      <c r="G50">
        <v>108</v>
      </c>
    </row>
    <row r="51" spans="1:7" x14ac:dyDescent="0.4">
      <c r="A51">
        <v>2021</v>
      </c>
      <c r="B51">
        <v>2</v>
      </c>
      <c r="C51" s="1">
        <v>44228</v>
      </c>
      <c r="D51">
        <v>0.19925162111932401</v>
      </c>
      <c r="E51">
        <v>5.5790453913410696</v>
      </c>
      <c r="F51">
        <v>8</v>
      </c>
      <c r="G51">
        <v>91</v>
      </c>
    </row>
    <row r="52" spans="1:7" x14ac:dyDescent="0.4">
      <c r="A52">
        <v>2021</v>
      </c>
      <c r="B52">
        <v>3</v>
      </c>
      <c r="C52" s="1">
        <v>44256</v>
      </c>
      <c r="D52">
        <v>0.417529781122709</v>
      </c>
      <c r="E52">
        <v>12.9434232148039</v>
      </c>
      <c r="F52">
        <v>9</v>
      </c>
      <c r="G52">
        <v>84</v>
      </c>
    </row>
    <row r="53" spans="1:7" x14ac:dyDescent="0.4">
      <c r="A53">
        <v>2021</v>
      </c>
      <c r="B53">
        <v>4</v>
      </c>
      <c r="C53" s="1">
        <v>44287</v>
      </c>
      <c r="D53">
        <v>1.8799768870702001</v>
      </c>
      <c r="E53">
        <v>56.399306612106201</v>
      </c>
      <c r="F53">
        <v>25</v>
      </c>
      <c r="G53">
        <v>109</v>
      </c>
    </row>
    <row r="54" spans="1:7" x14ac:dyDescent="0.4">
      <c r="A54">
        <v>2021</v>
      </c>
      <c r="B54">
        <v>5</v>
      </c>
      <c r="C54" s="1">
        <v>44317</v>
      </c>
      <c r="D54">
        <v>5.7109578489743296</v>
      </c>
      <c r="E54">
        <v>177.039693318204</v>
      </c>
      <c r="F54">
        <v>62</v>
      </c>
      <c r="G54">
        <v>1169</v>
      </c>
    </row>
    <row r="55" spans="1:7" x14ac:dyDescent="0.4">
      <c r="A55">
        <v>2021</v>
      </c>
      <c r="B55">
        <v>6</v>
      </c>
      <c r="C55" s="1">
        <v>44348</v>
      </c>
      <c r="D55">
        <v>8.2266932888149604</v>
      </c>
      <c r="E55">
        <v>246.800798664448</v>
      </c>
      <c r="F55">
        <v>61</v>
      </c>
      <c r="G55">
        <v>1288</v>
      </c>
    </row>
    <row r="56" spans="1:7" x14ac:dyDescent="0.4">
      <c r="A56">
        <v>2021</v>
      </c>
      <c r="B56">
        <v>7</v>
      </c>
      <c r="C56" s="1">
        <v>44378</v>
      </c>
      <c r="D56">
        <v>14.0078649690972</v>
      </c>
      <c r="E56">
        <v>434.243814042015</v>
      </c>
      <c r="F56">
        <v>53</v>
      </c>
      <c r="G56">
        <v>1206</v>
      </c>
    </row>
    <row r="57" spans="1:7" x14ac:dyDescent="0.4">
      <c r="A57">
        <v>2021</v>
      </c>
      <c r="B57">
        <v>8</v>
      </c>
      <c r="C57" s="1">
        <v>44409</v>
      </c>
      <c r="D57">
        <v>10.6590247987511</v>
      </c>
      <c r="E57">
        <v>330.42976876128398</v>
      </c>
      <c r="F57">
        <v>48</v>
      </c>
      <c r="G57">
        <v>901</v>
      </c>
    </row>
    <row r="58" spans="1:7" x14ac:dyDescent="0.4">
      <c r="A58">
        <v>2021</v>
      </c>
      <c r="B58">
        <v>9</v>
      </c>
      <c r="C58" s="1">
        <v>44440</v>
      </c>
      <c r="D58">
        <v>6.4598044657149503</v>
      </c>
      <c r="E58">
        <v>193.79413397144799</v>
      </c>
      <c r="F58">
        <v>39</v>
      </c>
      <c r="G58">
        <v>602</v>
      </c>
    </row>
    <row r="59" spans="1:7" x14ac:dyDescent="0.4">
      <c r="A59">
        <v>2021</v>
      </c>
      <c r="B59">
        <v>10</v>
      </c>
      <c r="C59" s="1">
        <v>44470</v>
      </c>
      <c r="D59">
        <v>2.6983768988407402</v>
      </c>
      <c r="E59">
        <v>83.649683864063107</v>
      </c>
      <c r="F59">
        <v>26</v>
      </c>
      <c r="G59">
        <v>231</v>
      </c>
    </row>
    <row r="60" spans="1:7" x14ac:dyDescent="0.4">
      <c r="A60">
        <v>2021</v>
      </c>
      <c r="B60">
        <v>11</v>
      </c>
      <c r="C60" s="1">
        <v>44501</v>
      </c>
      <c r="D60">
        <v>0</v>
      </c>
      <c r="E60">
        <v>0</v>
      </c>
      <c r="F60">
        <v>7</v>
      </c>
      <c r="G60">
        <v>58</v>
      </c>
    </row>
    <row r="61" spans="1:7" x14ac:dyDescent="0.4">
      <c r="A61">
        <v>2021</v>
      </c>
      <c r="B61">
        <v>12</v>
      </c>
      <c r="C61" s="1">
        <v>44531</v>
      </c>
      <c r="D61">
        <v>1.0404557857697401</v>
      </c>
      <c r="E61">
        <v>32.254129358862102</v>
      </c>
      <c r="F61">
        <v>5</v>
      </c>
      <c r="G61">
        <v>25</v>
      </c>
    </row>
    <row r="62" spans="1:7" x14ac:dyDescent="0.4">
      <c r="A62">
        <v>2022</v>
      </c>
      <c r="B62">
        <v>1</v>
      </c>
      <c r="C62" s="1">
        <v>44562</v>
      </c>
      <c r="D62">
        <v>0.85501788614491903</v>
      </c>
      <c r="E62">
        <v>26.505554470492498</v>
      </c>
      <c r="F62">
        <v>5</v>
      </c>
      <c r="G62">
        <v>21</v>
      </c>
    </row>
    <row r="63" spans="1:7" x14ac:dyDescent="0.4">
      <c r="A63">
        <v>2022</v>
      </c>
      <c r="B63">
        <v>2</v>
      </c>
      <c r="C63" s="1">
        <v>44593</v>
      </c>
      <c r="D63">
        <v>2.4350481965411701</v>
      </c>
      <c r="E63">
        <v>68.181349503152902</v>
      </c>
      <c r="F63">
        <v>4</v>
      </c>
      <c r="G63">
        <v>14</v>
      </c>
    </row>
    <row r="64" spans="1:7" x14ac:dyDescent="0.4">
      <c r="A64">
        <v>2022</v>
      </c>
      <c r="B64">
        <v>3</v>
      </c>
      <c r="C64" s="1">
        <v>44621</v>
      </c>
      <c r="D64">
        <v>0</v>
      </c>
      <c r="E64">
        <v>0</v>
      </c>
      <c r="F64">
        <v>2</v>
      </c>
      <c r="G64">
        <v>9</v>
      </c>
    </row>
    <row r="65" spans="1:7" x14ac:dyDescent="0.4">
      <c r="A65">
        <v>2022</v>
      </c>
      <c r="B65">
        <v>4</v>
      </c>
      <c r="C65" s="1">
        <v>44652</v>
      </c>
      <c r="D65">
        <v>0.71021317717214405</v>
      </c>
      <c r="E65">
        <v>21.306395315164298</v>
      </c>
      <c r="F65">
        <v>11</v>
      </c>
      <c r="G65">
        <v>21</v>
      </c>
    </row>
    <row r="66" spans="1:7" x14ac:dyDescent="0.4">
      <c r="A66">
        <v>2022</v>
      </c>
      <c r="B66">
        <v>5</v>
      </c>
      <c r="C66" s="1">
        <v>44682</v>
      </c>
      <c r="D66">
        <v>6.6061236124272904</v>
      </c>
      <c r="E66">
        <v>204.789831985246</v>
      </c>
      <c r="F66">
        <v>89</v>
      </c>
      <c r="G66">
        <v>1255</v>
      </c>
    </row>
    <row r="67" spans="1:7" x14ac:dyDescent="0.4">
      <c r="A67">
        <v>2022</v>
      </c>
      <c r="B67">
        <v>6</v>
      </c>
      <c r="C67" s="1">
        <v>44713</v>
      </c>
      <c r="D67">
        <v>11.4392821486574</v>
      </c>
      <c r="E67">
        <v>343.17846445972401</v>
      </c>
      <c r="F67">
        <v>143</v>
      </c>
      <c r="G67">
        <v>1991</v>
      </c>
    </row>
    <row r="68" spans="1:7" x14ac:dyDescent="0.4">
      <c r="A68">
        <v>2022</v>
      </c>
      <c r="B68">
        <v>7</v>
      </c>
      <c r="C68" s="1">
        <v>44743</v>
      </c>
      <c r="D68">
        <v>11.1463919985855</v>
      </c>
      <c r="E68">
        <v>345.53815195615198</v>
      </c>
      <c r="F68">
        <v>115</v>
      </c>
      <c r="G68">
        <v>2084</v>
      </c>
    </row>
    <row r="69" spans="1:7" x14ac:dyDescent="0.4">
      <c r="A69">
        <v>2022</v>
      </c>
      <c r="B69">
        <v>8</v>
      </c>
      <c r="C69" s="1">
        <v>44774</v>
      </c>
      <c r="D69">
        <v>9.3603351786699704</v>
      </c>
      <c r="E69">
        <v>290.17039053876903</v>
      </c>
      <c r="F69">
        <v>91</v>
      </c>
      <c r="G69">
        <v>1473</v>
      </c>
    </row>
    <row r="70" spans="1:7" x14ac:dyDescent="0.4">
      <c r="A70">
        <v>2022</v>
      </c>
      <c r="B70">
        <v>9</v>
      </c>
      <c r="C70" s="1">
        <v>44805</v>
      </c>
      <c r="D70">
        <v>8.1539482814693791</v>
      </c>
      <c r="E70">
        <v>244.618448444081</v>
      </c>
      <c r="F70">
        <v>69</v>
      </c>
      <c r="G70">
        <v>1036</v>
      </c>
    </row>
    <row r="71" spans="1:7" x14ac:dyDescent="0.4">
      <c r="A71">
        <v>2022</v>
      </c>
      <c r="B71">
        <v>10</v>
      </c>
      <c r="C71" s="1">
        <v>44835</v>
      </c>
      <c r="D71">
        <v>8.1872438253308797</v>
      </c>
      <c r="E71">
        <v>253.80455858525701</v>
      </c>
      <c r="F71">
        <v>35</v>
      </c>
      <c r="G71">
        <v>163</v>
      </c>
    </row>
    <row r="72" spans="1:7" x14ac:dyDescent="0.4">
      <c r="A72">
        <v>2022</v>
      </c>
      <c r="B72">
        <v>11</v>
      </c>
      <c r="C72" s="1">
        <v>44866</v>
      </c>
      <c r="D72">
        <v>0</v>
      </c>
      <c r="E72">
        <v>0</v>
      </c>
      <c r="F72">
        <v>5</v>
      </c>
      <c r="G72">
        <v>27</v>
      </c>
    </row>
    <row r="73" spans="1:7" x14ac:dyDescent="0.4">
      <c r="A73">
        <v>2022</v>
      </c>
      <c r="B73">
        <v>12</v>
      </c>
      <c r="C73" s="1">
        <v>44896</v>
      </c>
      <c r="D73">
        <v>0</v>
      </c>
      <c r="E73">
        <v>0</v>
      </c>
      <c r="F73">
        <v>1</v>
      </c>
      <c r="G73">
        <v>2</v>
      </c>
    </row>
    <row r="74" spans="1:7" x14ac:dyDescent="0.4">
      <c r="A74">
        <v>2023</v>
      </c>
      <c r="B74">
        <v>1</v>
      </c>
      <c r="C74" s="1">
        <v>44927</v>
      </c>
      <c r="D74">
        <v>0</v>
      </c>
      <c r="E74">
        <v>0</v>
      </c>
      <c r="F74">
        <v>1</v>
      </c>
      <c r="G74">
        <v>3</v>
      </c>
    </row>
    <row r="75" spans="1:7" x14ac:dyDescent="0.4">
      <c r="A75">
        <v>2023</v>
      </c>
      <c r="B75">
        <v>2</v>
      </c>
      <c r="C75" s="1">
        <v>44958</v>
      </c>
      <c r="D75">
        <v>0.57241379310344798</v>
      </c>
      <c r="E75">
        <v>16.027586206896501</v>
      </c>
      <c r="F75">
        <v>2</v>
      </c>
      <c r="G75">
        <v>5</v>
      </c>
    </row>
    <row r="76" spans="1:7" x14ac:dyDescent="0.4">
      <c r="A76">
        <v>2023</v>
      </c>
      <c r="B76">
        <v>3</v>
      </c>
      <c r="C76" s="1">
        <v>44986</v>
      </c>
      <c r="D76">
        <v>1.14559496569548</v>
      </c>
      <c r="E76">
        <v>35.513443936560101</v>
      </c>
      <c r="F76">
        <v>2</v>
      </c>
      <c r="G76">
        <v>14</v>
      </c>
    </row>
    <row r="77" spans="1:7" x14ac:dyDescent="0.4">
      <c r="A77">
        <v>2023</v>
      </c>
      <c r="B77">
        <v>4</v>
      </c>
      <c r="C77" s="1">
        <v>45017</v>
      </c>
      <c r="D77">
        <v>3.2806898739819199</v>
      </c>
      <c r="E77">
        <v>98.420696219457696</v>
      </c>
      <c r="F77">
        <v>10</v>
      </c>
      <c r="G77">
        <v>45</v>
      </c>
    </row>
    <row r="78" spans="1:7" x14ac:dyDescent="0.4">
      <c r="A78">
        <v>2023</v>
      </c>
      <c r="B78">
        <v>5</v>
      </c>
      <c r="C78" s="1">
        <v>45047</v>
      </c>
      <c r="D78">
        <v>2.6600351847556101</v>
      </c>
      <c r="E78">
        <v>82.461090727423993</v>
      </c>
      <c r="F78">
        <v>75</v>
      </c>
      <c r="G78">
        <v>1086</v>
      </c>
    </row>
    <row r="79" spans="1:7" x14ac:dyDescent="0.4">
      <c r="A79">
        <v>2023</v>
      </c>
      <c r="B79">
        <v>6</v>
      </c>
      <c r="C79" s="1">
        <v>45078</v>
      </c>
      <c r="D79">
        <v>7.0651700078106101</v>
      </c>
      <c r="E79">
        <v>211.955100234318</v>
      </c>
      <c r="F79">
        <v>81</v>
      </c>
      <c r="G79">
        <v>1472</v>
      </c>
    </row>
    <row r="80" spans="1:7" x14ac:dyDescent="0.4">
      <c r="A80">
        <v>2023</v>
      </c>
      <c r="B80">
        <v>7</v>
      </c>
      <c r="C80" s="1">
        <v>45108</v>
      </c>
      <c r="D80">
        <v>10.5475908390636</v>
      </c>
      <c r="E80">
        <v>326.97531601097398</v>
      </c>
      <c r="F80">
        <v>90</v>
      </c>
      <c r="G80">
        <v>1653</v>
      </c>
    </row>
    <row r="81" spans="1:7" x14ac:dyDescent="0.4">
      <c r="A81">
        <v>2023</v>
      </c>
      <c r="B81">
        <v>8</v>
      </c>
      <c r="C81" s="1">
        <v>45139</v>
      </c>
      <c r="D81">
        <v>10.694125600323099</v>
      </c>
      <c r="E81">
        <v>331.51789361001801</v>
      </c>
      <c r="F81">
        <v>73</v>
      </c>
      <c r="G81">
        <v>1301</v>
      </c>
    </row>
    <row r="82" spans="1:7" x14ac:dyDescent="0.4">
      <c r="A82">
        <v>2023</v>
      </c>
      <c r="B82">
        <v>9</v>
      </c>
      <c r="C82" s="1">
        <v>45170</v>
      </c>
      <c r="D82">
        <v>5.1830027440365898</v>
      </c>
      <c r="E82">
        <v>155.49008232109699</v>
      </c>
      <c r="F82">
        <v>57</v>
      </c>
      <c r="G82">
        <v>836</v>
      </c>
    </row>
    <row r="83" spans="1:7" x14ac:dyDescent="0.4">
      <c r="A83">
        <v>2023</v>
      </c>
      <c r="B83">
        <v>10</v>
      </c>
      <c r="C83" s="1">
        <v>45200</v>
      </c>
      <c r="D83">
        <v>7.8258963665449501</v>
      </c>
      <c r="E83">
        <v>242.602787362893</v>
      </c>
      <c r="F83">
        <v>41</v>
      </c>
      <c r="G83">
        <v>229</v>
      </c>
    </row>
    <row r="84" spans="1:7" x14ac:dyDescent="0.4">
      <c r="A84">
        <v>2023</v>
      </c>
      <c r="B84">
        <v>11</v>
      </c>
      <c r="C84" s="1">
        <v>45231</v>
      </c>
      <c r="D84">
        <v>1.8174834871565099E-2</v>
      </c>
      <c r="E84">
        <v>0.54524504614695302</v>
      </c>
      <c r="F84">
        <v>5</v>
      </c>
      <c r="G84">
        <v>26</v>
      </c>
    </row>
    <row r="85" spans="1:7" x14ac:dyDescent="0.4">
      <c r="A85">
        <v>2023</v>
      </c>
      <c r="B85">
        <v>12</v>
      </c>
      <c r="C85" s="1">
        <v>45261</v>
      </c>
      <c r="D85">
        <v>0</v>
      </c>
      <c r="E85">
        <v>0</v>
      </c>
      <c r="F85">
        <v>1</v>
      </c>
      <c r="G85">
        <v>2</v>
      </c>
    </row>
    <row r="86" spans="1:7" x14ac:dyDescent="0.4">
      <c r="A86">
        <v>2024</v>
      </c>
      <c r="B86">
        <v>1</v>
      </c>
      <c r="C86" s="1">
        <v>45292</v>
      </c>
      <c r="D86">
        <v>0</v>
      </c>
      <c r="E86">
        <v>0</v>
      </c>
      <c r="F86">
        <v>1</v>
      </c>
      <c r="G86">
        <v>1</v>
      </c>
    </row>
    <row r="87" spans="1:7" x14ac:dyDescent="0.4">
      <c r="A87">
        <v>2024</v>
      </c>
      <c r="B87">
        <v>2</v>
      </c>
      <c r="C87" s="1">
        <v>45323</v>
      </c>
      <c r="D87">
        <v>0.52879391524809805</v>
      </c>
      <c r="E87">
        <v>15.335023542194801</v>
      </c>
      <c r="F87">
        <v>1</v>
      </c>
      <c r="G87">
        <v>3</v>
      </c>
    </row>
    <row r="88" spans="1:7" x14ac:dyDescent="0.4">
      <c r="A88">
        <v>2024</v>
      </c>
      <c r="B88">
        <v>3</v>
      </c>
      <c r="C88" s="1">
        <v>45352</v>
      </c>
      <c r="D88">
        <v>2.0452549403418199</v>
      </c>
      <c r="E88">
        <v>63.402903150596501</v>
      </c>
      <c r="F88">
        <v>1</v>
      </c>
      <c r="G88">
        <v>15</v>
      </c>
    </row>
    <row r="89" spans="1:7" x14ac:dyDescent="0.4">
      <c r="A89">
        <v>2024</v>
      </c>
      <c r="B89">
        <v>4</v>
      </c>
      <c r="C89" s="1">
        <v>45383</v>
      </c>
      <c r="D89">
        <v>7.9750911250000001E-2</v>
      </c>
      <c r="E89">
        <v>2.3925273374999998</v>
      </c>
      <c r="F89">
        <v>13</v>
      </c>
      <c r="G89">
        <v>36</v>
      </c>
    </row>
    <row r="90" spans="1:7" x14ac:dyDescent="0.4">
      <c r="A90">
        <v>2024</v>
      </c>
      <c r="B90">
        <v>5</v>
      </c>
      <c r="C90" s="1">
        <v>45413</v>
      </c>
      <c r="D90">
        <v>2.3436706696722598</v>
      </c>
      <c r="E90">
        <v>72.653790759840106</v>
      </c>
      <c r="F90">
        <v>41</v>
      </c>
      <c r="G90">
        <v>621</v>
      </c>
    </row>
    <row r="91" spans="1:7" x14ac:dyDescent="0.4">
      <c r="A91">
        <v>2024</v>
      </c>
      <c r="B91">
        <v>6</v>
      </c>
      <c r="C91" s="1">
        <v>45444</v>
      </c>
      <c r="D91">
        <v>6.7520671176705402</v>
      </c>
      <c r="E91">
        <v>202.56201353011599</v>
      </c>
      <c r="F91">
        <v>64</v>
      </c>
      <c r="G91">
        <v>1062</v>
      </c>
    </row>
    <row r="92" spans="1:7" x14ac:dyDescent="0.4">
      <c r="A92">
        <v>2024</v>
      </c>
      <c r="B92">
        <v>7</v>
      </c>
      <c r="C92" s="1">
        <v>45474</v>
      </c>
      <c r="D92">
        <v>20.284763370855</v>
      </c>
      <c r="E92">
        <v>628.82766449650501</v>
      </c>
      <c r="F92">
        <v>60</v>
      </c>
      <c r="G92">
        <v>1195</v>
      </c>
    </row>
    <row r="93" spans="1:7" x14ac:dyDescent="0.4">
      <c r="A93">
        <v>2024</v>
      </c>
      <c r="B93">
        <v>8</v>
      </c>
      <c r="C93" s="1">
        <v>45505</v>
      </c>
      <c r="D93">
        <v>12.859020298034901</v>
      </c>
      <c r="E93">
        <v>398.62962923908202</v>
      </c>
      <c r="F93">
        <v>50</v>
      </c>
      <c r="G93">
        <v>793</v>
      </c>
    </row>
    <row r="94" spans="1:7" x14ac:dyDescent="0.4">
      <c r="A94">
        <v>2024</v>
      </c>
      <c r="B94">
        <v>9</v>
      </c>
      <c r="C94" s="1">
        <v>45536</v>
      </c>
      <c r="D94">
        <v>9.7214857396941703</v>
      </c>
      <c r="E94">
        <v>291.64457219082499</v>
      </c>
      <c r="F94">
        <v>32</v>
      </c>
      <c r="G94">
        <v>427</v>
      </c>
    </row>
    <row r="95" spans="1:7" x14ac:dyDescent="0.4">
      <c r="A95">
        <v>2024</v>
      </c>
      <c r="B95">
        <v>10</v>
      </c>
      <c r="C95" s="1">
        <v>45566</v>
      </c>
      <c r="D95">
        <v>1.45761786016205</v>
      </c>
      <c r="E95">
        <v>45.186153665023802</v>
      </c>
      <c r="F95">
        <v>15</v>
      </c>
      <c r="G95">
        <v>153</v>
      </c>
    </row>
    <row r="96" spans="1:7" x14ac:dyDescent="0.4">
      <c r="A96">
        <v>2024</v>
      </c>
      <c r="B96">
        <v>11</v>
      </c>
      <c r="C96" s="1">
        <v>45597</v>
      </c>
      <c r="D96">
        <v>0.356875124471076</v>
      </c>
      <c r="E96">
        <v>10.706253734132201</v>
      </c>
      <c r="F96">
        <v>8</v>
      </c>
      <c r="G96">
        <v>109</v>
      </c>
    </row>
    <row r="97" spans="1:7" x14ac:dyDescent="0.4">
      <c r="A97">
        <v>2024</v>
      </c>
      <c r="B97">
        <v>12</v>
      </c>
      <c r="C97" s="1">
        <v>45627</v>
      </c>
      <c r="D97">
        <v>8.1070125658694696E-3</v>
      </c>
      <c r="E97">
        <v>0.25131738954195298</v>
      </c>
      <c r="F97">
        <v>4</v>
      </c>
      <c r="G97">
        <v>79</v>
      </c>
    </row>
    <row r="98" spans="1:7" x14ac:dyDescent="0.4">
      <c r="A98">
        <v>2025</v>
      </c>
      <c r="B98">
        <v>1</v>
      </c>
      <c r="C98" s="1">
        <v>45658</v>
      </c>
      <c r="D98">
        <v>0</v>
      </c>
      <c r="E98">
        <v>0</v>
      </c>
      <c r="F98">
        <v>3</v>
      </c>
      <c r="G98">
        <v>52</v>
      </c>
    </row>
    <row r="99" spans="1:7" x14ac:dyDescent="0.4">
      <c r="A99">
        <v>2025</v>
      </c>
      <c r="B99">
        <v>2</v>
      </c>
      <c r="C99" s="1">
        <v>45689</v>
      </c>
      <c r="D99">
        <v>2.7210075513484502E-2</v>
      </c>
      <c r="E99">
        <v>0.76188211437756703</v>
      </c>
      <c r="F99">
        <v>2</v>
      </c>
      <c r="G99">
        <v>34</v>
      </c>
    </row>
    <row r="100" spans="1:7" x14ac:dyDescent="0.4">
      <c r="A100">
        <v>2025</v>
      </c>
      <c r="B100">
        <v>3</v>
      </c>
      <c r="C100" s="1">
        <v>45717</v>
      </c>
      <c r="D100">
        <v>0.30594794519056201</v>
      </c>
      <c r="E100">
        <v>9.4843863009074401</v>
      </c>
      <c r="F100">
        <v>4</v>
      </c>
      <c r="G100">
        <v>40</v>
      </c>
    </row>
    <row r="101" spans="1:7" x14ac:dyDescent="0.4">
      <c r="A101">
        <v>2025</v>
      </c>
      <c r="B101">
        <v>4</v>
      </c>
      <c r="C101" s="1">
        <v>45748</v>
      </c>
      <c r="D101">
        <v>2.8415635060728999</v>
      </c>
      <c r="E101">
        <v>85.246905182187206</v>
      </c>
      <c r="F101">
        <v>11</v>
      </c>
      <c r="G101">
        <v>63</v>
      </c>
    </row>
    <row r="102" spans="1:7" x14ac:dyDescent="0.4">
      <c r="A102">
        <v>2025</v>
      </c>
      <c r="B102">
        <v>5</v>
      </c>
      <c r="C102" s="1">
        <v>45778</v>
      </c>
      <c r="D102">
        <v>4.9063088005109403</v>
      </c>
      <c r="E102">
        <v>152.09557281583901</v>
      </c>
      <c r="F102">
        <v>37</v>
      </c>
      <c r="G102">
        <v>416</v>
      </c>
    </row>
    <row r="103" spans="1:7" x14ac:dyDescent="0.4">
      <c r="A103">
        <v>2025</v>
      </c>
      <c r="B103">
        <v>6</v>
      </c>
      <c r="C103" s="1">
        <v>45809</v>
      </c>
      <c r="D103">
        <v>9.3448611429241009</v>
      </c>
      <c r="E103">
        <v>280.34583428772299</v>
      </c>
      <c r="F103">
        <v>40</v>
      </c>
      <c r="G103">
        <v>714</v>
      </c>
    </row>
    <row r="104" spans="1:7" x14ac:dyDescent="0.4">
      <c r="A104">
        <v>2025</v>
      </c>
      <c r="B104">
        <v>7</v>
      </c>
      <c r="C104" s="1">
        <v>45839</v>
      </c>
      <c r="D104">
        <v>8.4618740078499908</v>
      </c>
      <c r="E104">
        <v>262.31809424334898</v>
      </c>
      <c r="F104">
        <v>35</v>
      </c>
      <c r="G104">
        <v>703</v>
      </c>
    </row>
    <row r="105" spans="1:7" x14ac:dyDescent="0.4">
      <c r="A105">
        <v>2025</v>
      </c>
      <c r="B105">
        <v>8</v>
      </c>
      <c r="C105" s="1">
        <v>45870</v>
      </c>
      <c r="D105">
        <v>10.8430012481586</v>
      </c>
      <c r="E105">
        <v>336.13303869291798</v>
      </c>
      <c r="F105">
        <v>29</v>
      </c>
      <c r="G105">
        <v>603</v>
      </c>
    </row>
    <row r="106" spans="1:7" x14ac:dyDescent="0.4">
      <c r="A106">
        <v>2025</v>
      </c>
      <c r="B106">
        <v>9</v>
      </c>
      <c r="C106" s="1">
        <v>45901</v>
      </c>
      <c r="D106">
        <v>6.19331428844424</v>
      </c>
      <c r="E106">
        <v>185.799428653327</v>
      </c>
      <c r="F106">
        <v>26</v>
      </c>
      <c r="G106">
        <v>376</v>
      </c>
    </row>
    <row r="107" spans="1:7" x14ac:dyDescent="0.4">
      <c r="A107">
        <v>2025</v>
      </c>
      <c r="B107">
        <v>10</v>
      </c>
      <c r="C107" s="1">
        <v>45931</v>
      </c>
      <c r="D107">
        <v>8.09615950840635</v>
      </c>
      <c r="E107">
        <v>250.980944760596</v>
      </c>
      <c r="F107">
        <v>14</v>
      </c>
      <c r="G107">
        <v>147</v>
      </c>
    </row>
    <row r="108" spans="1:7" x14ac:dyDescent="0.4">
      <c r="A108">
        <v>2025</v>
      </c>
      <c r="B108">
        <v>11</v>
      </c>
      <c r="C108" s="1">
        <v>45962</v>
      </c>
      <c r="D108">
        <v>1.13807401819587</v>
      </c>
      <c r="E108">
        <v>34.142220545876199</v>
      </c>
      <c r="F108">
        <v>6</v>
      </c>
      <c r="G108">
        <v>28</v>
      </c>
    </row>
    <row r="109" spans="1:7" x14ac:dyDescent="0.4">
      <c r="A109">
        <v>2025</v>
      </c>
      <c r="B109">
        <v>12</v>
      </c>
      <c r="C109" s="1">
        <v>45992</v>
      </c>
      <c r="D109">
        <v>0</v>
      </c>
      <c r="E109">
        <v>0</v>
      </c>
      <c r="F109">
        <v>1</v>
      </c>
      <c r="G109">
        <v>25</v>
      </c>
    </row>
    <row r="110" spans="1:7" x14ac:dyDescent="0.4">
      <c r="A110">
        <v>2026</v>
      </c>
      <c r="B110">
        <v>1</v>
      </c>
      <c r="C110" s="1">
        <v>46023</v>
      </c>
      <c r="D110">
        <v>0</v>
      </c>
      <c r="E110">
        <v>0</v>
      </c>
      <c r="F110">
        <v>2</v>
      </c>
      <c r="G110">
        <v>27</v>
      </c>
    </row>
    <row r="111" spans="1:7" x14ac:dyDescent="0.4">
      <c r="A111">
        <v>2026</v>
      </c>
      <c r="B111">
        <v>2</v>
      </c>
      <c r="C111" s="1">
        <v>46054</v>
      </c>
      <c r="D111">
        <v>0.19657136631974001</v>
      </c>
      <c r="E111">
        <v>5.5039982569527304</v>
      </c>
      <c r="F111">
        <v>3</v>
      </c>
      <c r="G111">
        <v>27</v>
      </c>
    </row>
    <row r="112" spans="1:7" x14ac:dyDescent="0.4">
      <c r="A112">
        <v>2026</v>
      </c>
      <c r="B112">
        <v>3</v>
      </c>
      <c r="C112" s="1">
        <v>46082</v>
      </c>
      <c r="D112">
        <v>1.7302084175268799</v>
      </c>
      <c r="E112">
        <v>53.636460943333297</v>
      </c>
      <c r="F112">
        <v>3</v>
      </c>
      <c r="G112">
        <v>50</v>
      </c>
    </row>
    <row r="113" spans="1:7" x14ac:dyDescent="0.4">
      <c r="A113">
        <v>2026</v>
      </c>
      <c r="B113">
        <v>4</v>
      </c>
      <c r="C113" s="1">
        <v>46113</v>
      </c>
      <c r="D113">
        <v>3.4276804464858399</v>
      </c>
      <c r="E113">
        <v>102.830413394575</v>
      </c>
      <c r="F113">
        <v>6</v>
      </c>
      <c r="G113">
        <v>53</v>
      </c>
    </row>
    <row r="114" spans="1:7" x14ac:dyDescent="0.4">
      <c r="A114">
        <v>2026</v>
      </c>
      <c r="B114">
        <v>5</v>
      </c>
      <c r="C114" s="1">
        <v>46143</v>
      </c>
      <c r="D114">
        <v>5.1025969624100496</v>
      </c>
      <c r="E114">
        <v>158.180505834711</v>
      </c>
      <c r="F114">
        <v>28</v>
      </c>
      <c r="G114">
        <v>296</v>
      </c>
    </row>
    <row r="115" spans="1:7" x14ac:dyDescent="0.4">
      <c r="A115">
        <v>2026</v>
      </c>
      <c r="B115">
        <v>6</v>
      </c>
      <c r="C115" s="1">
        <v>46174</v>
      </c>
      <c r="D115">
        <v>3.9339127710011299</v>
      </c>
      <c r="E115">
        <v>118.01738313003401</v>
      </c>
      <c r="F115">
        <v>35</v>
      </c>
      <c r="G115">
        <v>599</v>
      </c>
    </row>
    <row r="116" spans="1:7" x14ac:dyDescent="0.4">
      <c r="A116">
        <v>2026</v>
      </c>
      <c r="B116">
        <v>7</v>
      </c>
      <c r="C116" s="1">
        <v>46204</v>
      </c>
      <c r="D116">
        <v>14.518427461665601</v>
      </c>
      <c r="E116">
        <v>450.071251311634</v>
      </c>
      <c r="F116">
        <v>34</v>
      </c>
      <c r="G116">
        <v>496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precip_monthly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Slezas, Roland</cp:lastModifiedBy>
  <dcterms:created xsi:type="dcterms:W3CDTF">2026-09-14T22:52:06Z</dcterms:created>
  <dcterms:modified xsi:type="dcterms:W3CDTF">2026-09-14T23:16:46Z</dcterms:modified>
</cp:coreProperties>
</file>