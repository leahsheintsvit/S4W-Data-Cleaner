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an\Desktop\S4W-Data-Cleaner\Cleaned Data\Excel Files\"/>
    </mc:Choice>
  </mc:AlternateContent>
  <xr:revisionPtr revIDLastSave="0" documentId="13_ncr:9_{36E8AE2D-7D86-47C2-A62D-30D7C1BD0791}" xr6:coauthVersionLast="47" xr6:coauthVersionMax="47" xr10:uidLastSave="{00000000-0000-0000-0000-000000000000}"/>
  <bookViews>
    <workbookView xWindow="-110" yWindow="-110" windowWidth="38620" windowHeight="21100" activeTab="1" xr2:uid="{5D09113B-3EFE-4589-BC60-203B0F09A8CB}"/>
  </bookViews>
  <sheets>
    <sheet name="precip_monthly" sheetId="1" r:id="rId1"/>
    <sheet name="Sheet1" sheetId="3" r:id="rId2"/>
  </sheets>
  <calcPr calcId="0"/>
</workbook>
</file>

<file path=xl/calcChain.xml><?xml version="1.0" encoding="utf-8"?>
<calcChain xmlns="http://schemas.openxmlformats.org/spreadsheetml/2006/main">
  <c r="M17" i="3" l="1"/>
  <c r="N17" i="3"/>
  <c r="O17" i="3"/>
  <c r="P17" i="3"/>
  <c r="Q17" i="3"/>
  <c r="R17" i="3"/>
  <c r="S17" i="3"/>
  <c r="T17" i="3"/>
  <c r="L17" i="3"/>
  <c r="M24" i="3" s="1" a="1"/>
  <c r="M2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<sst xmlns="http://schemas.openxmlformats.org/spreadsheetml/2006/main" count="22" uniqueCount="13">
  <si>
    <t>year</t>
  </si>
  <si>
    <t>month</t>
  </si>
  <si>
    <t>start_date</t>
  </si>
  <si>
    <t>mean_daily_precip_mm</t>
  </si>
  <si>
    <t>total_expected_precip_mm</t>
  </si>
  <si>
    <t>total_sites</t>
  </si>
  <si>
    <t>total_observations</t>
  </si>
  <si>
    <t>expected precip</t>
  </si>
  <si>
    <t>Year</t>
  </si>
  <si>
    <t>Expected Total Precipitation</t>
  </si>
  <si>
    <t>weight:</t>
  </si>
  <si>
    <t>number of sites</t>
  </si>
  <si>
    <t>number of observations per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</si>
</sst>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Sheet1!$M$23</c:f>
              <c:strCache>
                <c:ptCount val="1"/>
                <c:pt idx="0">
                  <c:v>Expected Total Precipitation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Sheet1!$L$24:$L$32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Sheet1!$M$24:$M$32</c:f>
              <c:numCache>
                <c:formatCode>General</c:formatCode>
                <c:ptCount val="9"/>
                <c:pt idx="0">
                  <c:v>0.56209837455094769</c:v>
                </c:pt>
                <c:pt idx="1">
                  <c:v>2.1882352726520859</c:v>
                </c:pt>
                <c:pt idx="2">
                  <c:v>2.0927847478079182</c:v>
                </c:pt>
                <c:pt idx="3">
                  <c:v>2.8804044334444083</c:v>
                </c:pt>
                <c:pt idx="4">
                  <c:v>3.4183293012447176</c:v>
                </c:pt>
                <c:pt idx="5">
                  <c:v>3.831197580229579</c:v>
                </c:pt>
                <c:pt idx="6">
                  <c:v>4.688106829711189</c:v>
                </c:pt>
                <c:pt idx="7">
                  <c:v>9.6532925204054401</c:v>
                </c:pt>
                <c:pt idx="8">
                  <c:v>5.9558668943647826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8-4E65-9E60-9C3FEB9D2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57951"/>
        <c:axId val="209350271"/>
      </c:barChart>
      <c:catAx>
        <c:axId val="20935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0271"/>
        <c:crosses val="autoZero"/>
        <c:auto val="1"/>
        <c:lblAlgn val="ctr"/>
        <c:lblOffset val="100"/>
        <c:noMultiLvlLbl val="0"/>
      </c:catAx>
      <c:valAx>
        <c:axId val="20935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549275</xdr:colOff>
      <xdr:row>21</xdr:row>
      <xdr:rowOff>155574</xdr:rowOff>
    </xdr:from>
    <xdr:to>
      <xdr:col>27</xdr:col>
      <xdr:colOff>563033</xdr:colOff>
      <xdr:row>45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BA5F61-1B02-DAFB-403C-AC40B3762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35C5-5FE7-4047-BABD-160B3784515F}">
  <dimension ref="A1:G116"/>
  <sheetViews>
    <sheetView workbookViewId="0">
      <selection activeCell="C14" sqref="A1:G11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2017</v>
      </c>
      <c r="B2">
        <v>1</v>
      </c>
      <c r="C2" s="1">
        <v>42736</v>
      </c>
      <c r="D2">
        <v>1.41729094958493E-2</v>
      </c>
      <c r="E2">
        <v>0.43936019437133</v>
      </c>
      <c r="F2">
        <v>11</v>
      </c>
      <c r="G2">
        <v>30</v>
      </c>
    </row>
    <row r="3" spans="1:7" x14ac:dyDescent="0.35">
      <c r="A3">
        <v>2017</v>
      </c>
      <c r="B3">
        <v>2</v>
      </c>
      <c r="C3" s="1">
        <v>42767</v>
      </c>
      <c r="D3">
        <v>4.7176918678611401E-2</v>
      </c>
      <c r="E3">
        <v>1.3209537230011099</v>
      </c>
      <c r="F3">
        <v>10</v>
      </c>
      <c r="G3">
        <v>19</v>
      </c>
    </row>
    <row r="4" spans="1:7" x14ac:dyDescent="0.35">
      <c r="A4">
        <v>2017</v>
      </c>
      <c r="B4">
        <v>3</v>
      </c>
      <c r="C4" s="1">
        <v>42795</v>
      </c>
      <c r="D4">
        <v>6.2118587509674798E-2</v>
      </c>
      <c r="E4">
        <v>1.9256762127999101</v>
      </c>
      <c r="F4">
        <v>15</v>
      </c>
      <c r="G4">
        <v>39</v>
      </c>
    </row>
    <row r="5" spans="1:7" x14ac:dyDescent="0.35">
      <c r="A5">
        <v>2017</v>
      </c>
      <c r="B5">
        <v>4</v>
      </c>
      <c r="C5" s="1">
        <v>42826</v>
      </c>
      <c r="D5">
        <v>1.8985649701298402E-2</v>
      </c>
      <c r="E5">
        <v>0.56956949103895405</v>
      </c>
      <c r="F5">
        <v>83</v>
      </c>
      <c r="G5">
        <v>238</v>
      </c>
    </row>
    <row r="6" spans="1:7" x14ac:dyDescent="0.35">
      <c r="A6">
        <v>2017</v>
      </c>
      <c r="B6">
        <v>5</v>
      </c>
      <c r="C6" s="1">
        <v>42856</v>
      </c>
      <c r="D6">
        <v>8.7291297298128703E-3</v>
      </c>
      <c r="E6">
        <v>0.27060302162419803</v>
      </c>
      <c r="F6">
        <v>143</v>
      </c>
      <c r="G6">
        <v>728</v>
      </c>
    </row>
    <row r="7" spans="1:7" x14ac:dyDescent="0.35">
      <c r="A7">
        <v>2017</v>
      </c>
      <c r="B7">
        <v>6</v>
      </c>
      <c r="C7" s="1">
        <v>42887</v>
      </c>
      <c r="D7">
        <v>1.6452809749499499E-2</v>
      </c>
      <c r="E7">
        <v>0.49358429248498598</v>
      </c>
      <c r="F7">
        <v>168</v>
      </c>
      <c r="G7">
        <v>813</v>
      </c>
    </row>
    <row r="8" spans="1:7" x14ac:dyDescent="0.35">
      <c r="A8">
        <v>2017</v>
      </c>
      <c r="B8">
        <v>7</v>
      </c>
      <c r="C8" s="1">
        <v>42917</v>
      </c>
      <c r="D8">
        <v>1.89476804952158E-2</v>
      </c>
      <c r="E8">
        <v>0.58737809535169005</v>
      </c>
      <c r="F8">
        <v>193</v>
      </c>
      <c r="G8">
        <v>1245</v>
      </c>
    </row>
    <row r="9" spans="1:7" x14ac:dyDescent="0.35">
      <c r="A9">
        <v>2017</v>
      </c>
      <c r="B9">
        <v>8</v>
      </c>
      <c r="C9" s="1">
        <v>42948</v>
      </c>
      <c r="D9">
        <v>2.1733562525867701E-2</v>
      </c>
      <c r="E9">
        <v>0.673740438301901</v>
      </c>
      <c r="F9">
        <v>196</v>
      </c>
      <c r="G9">
        <v>1246</v>
      </c>
    </row>
    <row r="10" spans="1:7" x14ac:dyDescent="0.35">
      <c r="A10">
        <v>2017</v>
      </c>
      <c r="B10">
        <v>9</v>
      </c>
      <c r="C10" s="1">
        <v>42979</v>
      </c>
      <c r="D10">
        <v>1.10771650038799E-2</v>
      </c>
      <c r="E10">
        <v>0.332314950116399</v>
      </c>
      <c r="F10">
        <v>146</v>
      </c>
      <c r="G10">
        <v>666</v>
      </c>
    </row>
    <row r="11" spans="1:7" x14ac:dyDescent="0.35">
      <c r="A11">
        <v>2017</v>
      </c>
      <c r="B11">
        <v>10</v>
      </c>
      <c r="C11" s="1">
        <v>43009</v>
      </c>
      <c r="D11">
        <v>4.1413738944574797E-3</v>
      </c>
      <c r="E11">
        <v>0.12838259072818201</v>
      </c>
      <c r="F11">
        <v>76</v>
      </c>
      <c r="G11">
        <v>285</v>
      </c>
    </row>
    <row r="12" spans="1:7" x14ac:dyDescent="0.35">
      <c r="A12">
        <v>2017</v>
      </c>
      <c r="B12">
        <v>11</v>
      </c>
      <c r="C12" s="1">
        <v>43040</v>
      </c>
      <c r="D12">
        <v>1.20582826423761E-4</v>
      </c>
      <c r="E12">
        <v>3.61748479271285E-3</v>
      </c>
      <c r="F12">
        <v>43</v>
      </c>
      <c r="G12">
        <v>159</v>
      </c>
    </row>
    <row r="13" spans="1:7" x14ac:dyDescent="0.35">
      <c r="A13">
        <v>2017</v>
      </c>
      <c r="B13">
        <v>12</v>
      </c>
      <c r="C13" s="1">
        <v>43070</v>
      </c>
      <c r="D13">
        <v>0</v>
      </c>
      <c r="E13">
        <v>0</v>
      </c>
      <c r="F13">
        <v>13</v>
      </c>
      <c r="G13">
        <v>67</v>
      </c>
    </row>
    <row r="14" spans="1:7" x14ac:dyDescent="0.35">
      <c r="A14">
        <v>2018</v>
      </c>
      <c r="B14">
        <v>1</v>
      </c>
      <c r="C14" s="1">
        <v>43101</v>
      </c>
      <c r="D14">
        <v>0</v>
      </c>
      <c r="E14">
        <v>0</v>
      </c>
      <c r="F14">
        <v>11</v>
      </c>
      <c r="G14">
        <v>43</v>
      </c>
    </row>
    <row r="15" spans="1:7" x14ac:dyDescent="0.35">
      <c r="A15">
        <v>2018</v>
      </c>
      <c r="B15">
        <v>2</v>
      </c>
      <c r="C15" s="1">
        <v>43132</v>
      </c>
      <c r="D15">
        <v>0</v>
      </c>
      <c r="E15">
        <v>0</v>
      </c>
      <c r="F15">
        <v>2</v>
      </c>
      <c r="G15">
        <v>23</v>
      </c>
    </row>
    <row r="16" spans="1:7" x14ac:dyDescent="0.35">
      <c r="A16">
        <v>2018</v>
      </c>
      <c r="B16">
        <v>3</v>
      </c>
      <c r="C16" s="1">
        <v>43160</v>
      </c>
      <c r="D16">
        <v>0.237761726575658</v>
      </c>
      <c r="E16">
        <v>7.3706135238453996</v>
      </c>
      <c r="F16">
        <v>4</v>
      </c>
      <c r="G16">
        <v>41</v>
      </c>
    </row>
    <row r="17" spans="1:7" x14ac:dyDescent="0.35">
      <c r="A17">
        <v>2018</v>
      </c>
      <c r="B17">
        <v>4</v>
      </c>
      <c r="C17" s="1">
        <v>43191</v>
      </c>
      <c r="D17">
        <v>9.4064051309396601E-2</v>
      </c>
      <c r="E17">
        <v>2.8219215392818899</v>
      </c>
      <c r="F17">
        <v>34</v>
      </c>
      <c r="G17">
        <v>191</v>
      </c>
    </row>
    <row r="18" spans="1:7" x14ac:dyDescent="0.35">
      <c r="A18">
        <v>2018</v>
      </c>
      <c r="B18">
        <v>5</v>
      </c>
      <c r="C18" s="1">
        <v>43221</v>
      </c>
      <c r="D18">
        <v>4.2289932877444501E-2</v>
      </c>
      <c r="E18">
        <v>1.3109879192007801</v>
      </c>
      <c r="F18">
        <v>102</v>
      </c>
      <c r="G18">
        <v>1191</v>
      </c>
    </row>
    <row r="19" spans="1:7" x14ac:dyDescent="0.35">
      <c r="A19">
        <v>2018</v>
      </c>
      <c r="B19">
        <v>6</v>
      </c>
      <c r="C19" s="1">
        <v>43252</v>
      </c>
      <c r="D19">
        <v>6.6984344700565399E-2</v>
      </c>
      <c r="E19">
        <v>2.0095303410169598</v>
      </c>
      <c r="F19">
        <v>107</v>
      </c>
      <c r="G19">
        <v>1419</v>
      </c>
    </row>
    <row r="20" spans="1:7" x14ac:dyDescent="0.35">
      <c r="A20">
        <v>2018</v>
      </c>
      <c r="B20">
        <v>7</v>
      </c>
      <c r="C20" s="1">
        <v>43282</v>
      </c>
      <c r="D20">
        <v>0.124756293690558</v>
      </c>
      <c r="E20">
        <v>3.8674451044073099</v>
      </c>
      <c r="F20">
        <v>99</v>
      </c>
      <c r="G20">
        <v>1756</v>
      </c>
    </row>
    <row r="21" spans="1:7" x14ac:dyDescent="0.35">
      <c r="A21">
        <v>2018</v>
      </c>
      <c r="B21">
        <v>8</v>
      </c>
      <c r="C21" s="1">
        <v>43313</v>
      </c>
      <c r="D21">
        <v>0.141516212253125</v>
      </c>
      <c r="E21">
        <v>4.3870025798468797</v>
      </c>
      <c r="F21">
        <v>99</v>
      </c>
      <c r="G21">
        <v>1598</v>
      </c>
    </row>
    <row r="22" spans="1:7" x14ac:dyDescent="0.35">
      <c r="A22">
        <v>2018</v>
      </c>
      <c r="B22">
        <v>9</v>
      </c>
      <c r="C22" s="1">
        <v>43344</v>
      </c>
      <c r="D22">
        <v>8.9072207205135104E-2</v>
      </c>
      <c r="E22">
        <v>2.67216621615405</v>
      </c>
      <c r="F22">
        <v>65</v>
      </c>
      <c r="G22">
        <v>858</v>
      </c>
    </row>
    <row r="23" spans="1:7" x14ac:dyDescent="0.35">
      <c r="A23">
        <v>2018</v>
      </c>
      <c r="B23">
        <v>10</v>
      </c>
      <c r="C23" s="1">
        <v>43374</v>
      </c>
      <c r="D23">
        <v>5.8682453163605298E-2</v>
      </c>
      <c r="E23">
        <v>1.8191560480717599</v>
      </c>
      <c r="F23">
        <v>23</v>
      </c>
      <c r="G23">
        <v>275</v>
      </c>
    </row>
    <row r="24" spans="1:7" x14ac:dyDescent="0.35">
      <c r="A24">
        <v>2018</v>
      </c>
      <c r="B24">
        <v>11</v>
      </c>
      <c r="C24" s="1">
        <v>43405</v>
      </c>
      <c r="D24">
        <v>0</v>
      </c>
      <c r="E24">
        <v>0</v>
      </c>
      <c r="F24">
        <v>11</v>
      </c>
      <c r="G24">
        <v>129</v>
      </c>
    </row>
    <row r="25" spans="1:7" x14ac:dyDescent="0.35">
      <c r="A25">
        <v>2018</v>
      </c>
      <c r="B25">
        <v>12</v>
      </c>
      <c r="C25" s="1">
        <v>43435</v>
      </c>
      <c r="D25">
        <v>0</v>
      </c>
      <c r="E25">
        <v>0</v>
      </c>
      <c r="F25">
        <v>13</v>
      </c>
      <c r="G25">
        <v>156</v>
      </c>
    </row>
    <row r="26" spans="1:7" x14ac:dyDescent="0.35">
      <c r="A26">
        <v>2019</v>
      </c>
      <c r="B26">
        <v>1</v>
      </c>
      <c r="C26" s="1">
        <v>43466</v>
      </c>
      <c r="D26">
        <v>3.2758148826277603E-2</v>
      </c>
      <c r="E26">
        <v>1.0155026136145999</v>
      </c>
      <c r="F26">
        <v>24</v>
      </c>
      <c r="G26">
        <v>221</v>
      </c>
    </row>
    <row r="27" spans="1:7" x14ac:dyDescent="0.35">
      <c r="A27">
        <v>2019</v>
      </c>
      <c r="B27">
        <v>2</v>
      </c>
      <c r="C27" s="1">
        <v>43497</v>
      </c>
      <c r="D27">
        <v>0.122421367726185</v>
      </c>
      <c r="E27">
        <v>3.4277982963331799</v>
      </c>
      <c r="F27">
        <v>23</v>
      </c>
      <c r="G27">
        <v>251</v>
      </c>
    </row>
    <row r="28" spans="1:7" x14ac:dyDescent="0.35">
      <c r="A28">
        <v>2019</v>
      </c>
      <c r="B28">
        <v>3</v>
      </c>
      <c r="C28" s="1">
        <v>43525</v>
      </c>
      <c r="D28">
        <v>6.2647958987681704E-2</v>
      </c>
      <c r="E28">
        <v>1.94208672861813</v>
      </c>
      <c r="F28">
        <v>23</v>
      </c>
      <c r="G28">
        <v>341</v>
      </c>
    </row>
    <row r="29" spans="1:7" x14ac:dyDescent="0.35">
      <c r="A29">
        <v>2019</v>
      </c>
      <c r="B29">
        <v>4</v>
      </c>
      <c r="C29" s="1">
        <v>43556</v>
      </c>
      <c r="D29">
        <v>5.0281991035667002E-2</v>
      </c>
      <c r="E29">
        <v>1.5084597310700101</v>
      </c>
      <c r="F29">
        <v>52</v>
      </c>
      <c r="G29">
        <v>549</v>
      </c>
    </row>
    <row r="30" spans="1:7" x14ac:dyDescent="0.35">
      <c r="A30">
        <v>2019</v>
      </c>
      <c r="B30">
        <v>5</v>
      </c>
      <c r="C30" s="1">
        <v>43586</v>
      </c>
      <c r="D30">
        <v>3.5328513535121002E-2</v>
      </c>
      <c r="E30">
        <v>1.0951839195887501</v>
      </c>
      <c r="F30">
        <v>83</v>
      </c>
      <c r="G30">
        <v>1152</v>
      </c>
    </row>
    <row r="31" spans="1:7" x14ac:dyDescent="0.35">
      <c r="A31">
        <v>2019</v>
      </c>
      <c r="B31">
        <v>6</v>
      </c>
      <c r="C31" s="1">
        <v>43617</v>
      </c>
      <c r="D31">
        <v>5.1011766373896997E-2</v>
      </c>
      <c r="E31">
        <v>1.53035299121691</v>
      </c>
      <c r="F31">
        <v>82</v>
      </c>
      <c r="G31">
        <v>1384</v>
      </c>
    </row>
    <row r="32" spans="1:7" x14ac:dyDescent="0.35">
      <c r="A32">
        <v>2019</v>
      </c>
      <c r="B32">
        <v>7</v>
      </c>
      <c r="C32" s="1">
        <v>43647</v>
      </c>
      <c r="D32">
        <v>0.14064329292182301</v>
      </c>
      <c r="E32">
        <v>4.3599420805765199</v>
      </c>
      <c r="F32">
        <v>88</v>
      </c>
      <c r="G32">
        <v>1728</v>
      </c>
    </row>
    <row r="33" spans="1:7" x14ac:dyDescent="0.35">
      <c r="A33">
        <v>2019</v>
      </c>
      <c r="B33">
        <v>8</v>
      </c>
      <c r="C33" s="1">
        <v>43678</v>
      </c>
      <c r="D33">
        <v>0.118675015437244</v>
      </c>
      <c r="E33">
        <v>3.6789254785545702</v>
      </c>
      <c r="F33">
        <v>71</v>
      </c>
      <c r="G33">
        <v>1384</v>
      </c>
    </row>
    <row r="34" spans="1:7" x14ac:dyDescent="0.35">
      <c r="A34">
        <v>2019</v>
      </c>
      <c r="B34">
        <v>9</v>
      </c>
      <c r="C34" s="1">
        <v>43709</v>
      </c>
      <c r="D34">
        <v>0.15648764929564801</v>
      </c>
      <c r="E34">
        <v>4.6946294788694596</v>
      </c>
      <c r="F34">
        <v>61</v>
      </c>
      <c r="G34">
        <v>1070</v>
      </c>
    </row>
    <row r="35" spans="1:7" x14ac:dyDescent="0.35">
      <c r="A35">
        <v>2019</v>
      </c>
      <c r="B35">
        <v>10</v>
      </c>
      <c r="C35" s="1">
        <v>43739</v>
      </c>
      <c r="D35">
        <v>2.4274712548589601E-2</v>
      </c>
      <c r="E35">
        <v>0.75251608900627698</v>
      </c>
      <c r="F35">
        <v>38</v>
      </c>
      <c r="G35">
        <v>412</v>
      </c>
    </row>
    <row r="36" spans="1:7" x14ac:dyDescent="0.35">
      <c r="A36">
        <v>2019</v>
      </c>
      <c r="B36">
        <v>11</v>
      </c>
      <c r="C36" s="1">
        <v>43770</v>
      </c>
      <c r="D36">
        <v>2.2665564947748499E-3</v>
      </c>
      <c r="E36">
        <v>6.7996694843245498E-2</v>
      </c>
      <c r="F36">
        <v>27</v>
      </c>
      <c r="G36">
        <v>214</v>
      </c>
    </row>
    <row r="37" spans="1:7" x14ac:dyDescent="0.35">
      <c r="A37">
        <v>2019</v>
      </c>
      <c r="B37">
        <v>12</v>
      </c>
      <c r="C37" s="1">
        <v>43800</v>
      </c>
      <c r="D37">
        <v>3.3549124883979903E-2</v>
      </c>
      <c r="E37">
        <v>1.0400228714033699</v>
      </c>
      <c r="F37">
        <v>26</v>
      </c>
      <c r="G37">
        <v>113</v>
      </c>
    </row>
    <row r="38" spans="1:7" x14ac:dyDescent="0.35">
      <c r="A38">
        <v>2020</v>
      </c>
      <c r="B38">
        <v>1</v>
      </c>
      <c r="C38" s="1">
        <v>43831</v>
      </c>
      <c r="D38">
        <v>6.2011619000156497E-2</v>
      </c>
      <c r="E38">
        <v>1.9223601890048501</v>
      </c>
      <c r="F38">
        <v>26</v>
      </c>
      <c r="G38">
        <v>155</v>
      </c>
    </row>
    <row r="39" spans="1:7" x14ac:dyDescent="0.35">
      <c r="A39">
        <v>2020</v>
      </c>
      <c r="B39">
        <v>2</v>
      </c>
      <c r="C39" s="1">
        <v>43862</v>
      </c>
      <c r="D39">
        <v>3.2118695264979298E-2</v>
      </c>
      <c r="E39">
        <v>0.93144216268440205</v>
      </c>
      <c r="F39">
        <v>21</v>
      </c>
      <c r="G39">
        <v>136</v>
      </c>
    </row>
    <row r="40" spans="1:7" x14ac:dyDescent="0.35">
      <c r="A40">
        <v>2020</v>
      </c>
      <c r="B40">
        <v>3</v>
      </c>
      <c r="C40" s="1">
        <v>43891</v>
      </c>
      <c r="D40">
        <v>3.04931760406718E-2</v>
      </c>
      <c r="E40">
        <v>0.945288457260827</v>
      </c>
      <c r="F40">
        <v>25</v>
      </c>
      <c r="G40">
        <v>236</v>
      </c>
    </row>
    <row r="41" spans="1:7" x14ac:dyDescent="0.35">
      <c r="A41">
        <v>2020</v>
      </c>
      <c r="B41">
        <v>4</v>
      </c>
      <c r="C41" s="1">
        <v>43922</v>
      </c>
      <c r="D41">
        <v>8.7175334940047297E-2</v>
      </c>
      <c r="E41">
        <v>2.6152600482014101</v>
      </c>
      <c r="F41">
        <v>29</v>
      </c>
      <c r="G41">
        <v>343</v>
      </c>
    </row>
    <row r="42" spans="1:7" x14ac:dyDescent="0.35">
      <c r="A42">
        <v>2020</v>
      </c>
      <c r="B42">
        <v>5</v>
      </c>
      <c r="C42" s="1">
        <v>43952</v>
      </c>
      <c r="D42">
        <v>9.0002082578619594E-2</v>
      </c>
      <c r="E42">
        <v>2.7900645599371998</v>
      </c>
      <c r="F42">
        <v>52</v>
      </c>
      <c r="G42">
        <v>732</v>
      </c>
    </row>
    <row r="43" spans="1:7" x14ac:dyDescent="0.35">
      <c r="A43">
        <v>2020</v>
      </c>
      <c r="B43">
        <v>6</v>
      </c>
      <c r="C43" s="1">
        <v>43983</v>
      </c>
      <c r="D43">
        <v>0.201886609878973</v>
      </c>
      <c r="E43">
        <v>6.0565982963691898</v>
      </c>
      <c r="F43">
        <v>50</v>
      </c>
      <c r="G43">
        <v>945</v>
      </c>
    </row>
    <row r="44" spans="1:7" x14ac:dyDescent="0.35">
      <c r="A44">
        <v>2020</v>
      </c>
      <c r="B44">
        <v>7</v>
      </c>
      <c r="C44" s="1">
        <v>44013</v>
      </c>
      <c r="D44">
        <v>0.22146995690377499</v>
      </c>
      <c r="E44">
        <v>6.8655686640170304</v>
      </c>
      <c r="F44">
        <v>59</v>
      </c>
      <c r="G44">
        <v>970</v>
      </c>
    </row>
    <row r="45" spans="1:7" x14ac:dyDescent="0.35">
      <c r="A45">
        <v>2020</v>
      </c>
      <c r="B45">
        <v>8</v>
      </c>
      <c r="C45" s="1">
        <v>44044</v>
      </c>
      <c r="D45">
        <v>0.19316874212007501</v>
      </c>
      <c r="E45">
        <v>5.9882310057223398</v>
      </c>
      <c r="F45">
        <v>43</v>
      </c>
      <c r="G45">
        <v>847</v>
      </c>
    </row>
    <row r="46" spans="1:7" x14ac:dyDescent="0.35">
      <c r="A46">
        <v>2020</v>
      </c>
      <c r="B46">
        <v>9</v>
      </c>
      <c r="C46" s="1">
        <v>44075</v>
      </c>
      <c r="D46">
        <v>0.20822923352186101</v>
      </c>
      <c r="E46">
        <v>6.2468770056558496</v>
      </c>
      <c r="F46">
        <v>38</v>
      </c>
      <c r="G46">
        <v>662</v>
      </c>
    </row>
    <row r="47" spans="1:7" x14ac:dyDescent="0.35">
      <c r="A47">
        <v>2020</v>
      </c>
      <c r="B47">
        <v>10</v>
      </c>
      <c r="C47" s="1">
        <v>44105</v>
      </c>
      <c r="D47">
        <v>6.36614672912979E-3</v>
      </c>
      <c r="E47">
        <v>0.19735054860302301</v>
      </c>
      <c r="F47">
        <v>25</v>
      </c>
      <c r="G47">
        <v>325</v>
      </c>
    </row>
    <row r="48" spans="1:7" x14ac:dyDescent="0.35">
      <c r="A48">
        <v>2020</v>
      </c>
      <c r="B48">
        <v>11</v>
      </c>
      <c r="C48" s="1">
        <v>44136</v>
      </c>
      <c r="D48">
        <v>1.9374212922599999E-4</v>
      </c>
      <c r="E48">
        <v>5.81226387678E-3</v>
      </c>
      <c r="F48">
        <v>15</v>
      </c>
      <c r="G48">
        <v>150</v>
      </c>
    </row>
    <row r="49" spans="1:7" x14ac:dyDescent="0.35">
      <c r="A49">
        <v>2020</v>
      </c>
      <c r="B49">
        <v>12</v>
      </c>
      <c r="C49" s="1">
        <v>44166</v>
      </c>
      <c r="D49">
        <v>0</v>
      </c>
      <c r="E49">
        <v>0</v>
      </c>
      <c r="F49">
        <v>13</v>
      </c>
      <c r="G49">
        <v>131</v>
      </c>
    </row>
    <row r="50" spans="1:7" x14ac:dyDescent="0.35">
      <c r="A50">
        <v>2021</v>
      </c>
      <c r="B50">
        <v>1</v>
      </c>
      <c r="C50" s="1">
        <v>44197</v>
      </c>
      <c r="D50">
        <v>4.0684179130987799E-4</v>
      </c>
      <c r="E50">
        <v>1.26120955306062E-2</v>
      </c>
      <c r="F50">
        <v>13</v>
      </c>
      <c r="G50">
        <v>108</v>
      </c>
    </row>
    <row r="51" spans="1:7" x14ac:dyDescent="0.35">
      <c r="A51">
        <v>2021</v>
      </c>
      <c r="B51">
        <v>2</v>
      </c>
      <c r="C51" s="1">
        <v>44228</v>
      </c>
      <c r="D51">
        <v>2.4906452639915502E-2</v>
      </c>
      <c r="E51">
        <v>0.69738067391763403</v>
      </c>
      <c r="F51">
        <v>8</v>
      </c>
      <c r="G51">
        <v>91</v>
      </c>
    </row>
    <row r="52" spans="1:7" x14ac:dyDescent="0.35">
      <c r="A52">
        <v>2021</v>
      </c>
      <c r="B52">
        <v>3</v>
      </c>
      <c r="C52" s="1">
        <v>44256</v>
      </c>
      <c r="D52">
        <v>4.6392197902523198E-2</v>
      </c>
      <c r="E52">
        <v>1.43815813497822</v>
      </c>
      <c r="F52">
        <v>9</v>
      </c>
      <c r="G52">
        <v>84</v>
      </c>
    </row>
    <row r="53" spans="1:7" x14ac:dyDescent="0.35">
      <c r="A53">
        <v>2021</v>
      </c>
      <c r="B53">
        <v>4</v>
      </c>
      <c r="C53" s="1">
        <v>44287</v>
      </c>
      <c r="D53">
        <v>7.5199075482808297E-2</v>
      </c>
      <c r="E53">
        <v>2.2559722644842499</v>
      </c>
      <c r="F53">
        <v>25</v>
      </c>
      <c r="G53">
        <v>109</v>
      </c>
    </row>
    <row r="54" spans="1:7" x14ac:dyDescent="0.35">
      <c r="A54">
        <v>2021</v>
      </c>
      <c r="B54">
        <v>5</v>
      </c>
      <c r="C54" s="1">
        <v>44317</v>
      </c>
      <c r="D54">
        <v>9.2112223370553706E-2</v>
      </c>
      <c r="E54">
        <v>2.8554789244871599</v>
      </c>
      <c r="F54">
        <v>62</v>
      </c>
      <c r="G54">
        <v>1169</v>
      </c>
    </row>
    <row r="55" spans="1:7" x14ac:dyDescent="0.35">
      <c r="A55">
        <v>2021</v>
      </c>
      <c r="B55">
        <v>6</v>
      </c>
      <c r="C55" s="1">
        <v>44348</v>
      </c>
      <c r="D55">
        <v>0.134863824406802</v>
      </c>
      <c r="E55">
        <v>4.0459147322040696</v>
      </c>
      <c r="F55">
        <v>61</v>
      </c>
      <c r="G55">
        <v>1288</v>
      </c>
    </row>
    <row r="56" spans="1:7" x14ac:dyDescent="0.35">
      <c r="A56">
        <v>2021</v>
      </c>
      <c r="B56">
        <v>7</v>
      </c>
      <c r="C56" s="1">
        <v>44378</v>
      </c>
      <c r="D56">
        <v>0.26429933903957098</v>
      </c>
      <c r="E56">
        <v>8.1932795102267004</v>
      </c>
      <c r="F56">
        <v>53</v>
      </c>
      <c r="G56">
        <v>1206</v>
      </c>
    </row>
    <row r="57" spans="1:7" x14ac:dyDescent="0.35">
      <c r="A57">
        <v>2021</v>
      </c>
      <c r="B57">
        <v>8</v>
      </c>
      <c r="C57" s="1">
        <v>44409</v>
      </c>
      <c r="D57">
        <v>0.22206301664064701</v>
      </c>
      <c r="E57">
        <v>6.88395351586008</v>
      </c>
      <c r="F57">
        <v>48</v>
      </c>
      <c r="G57">
        <v>901</v>
      </c>
    </row>
    <row r="58" spans="1:7" x14ac:dyDescent="0.35">
      <c r="A58">
        <v>2021</v>
      </c>
      <c r="B58">
        <v>9</v>
      </c>
      <c r="C58" s="1">
        <v>44440</v>
      </c>
      <c r="D58">
        <v>0.16563601194140901</v>
      </c>
      <c r="E58">
        <v>4.9690803582422696</v>
      </c>
      <c r="F58">
        <v>39</v>
      </c>
      <c r="G58">
        <v>602</v>
      </c>
    </row>
    <row r="59" spans="1:7" x14ac:dyDescent="0.35">
      <c r="A59">
        <v>2021</v>
      </c>
      <c r="B59">
        <v>10</v>
      </c>
      <c r="C59" s="1">
        <v>44470</v>
      </c>
      <c r="D59">
        <v>0.10378372687849</v>
      </c>
      <c r="E59">
        <v>3.2172955332331901</v>
      </c>
      <c r="F59">
        <v>26</v>
      </c>
      <c r="G59">
        <v>231</v>
      </c>
    </row>
    <row r="60" spans="1:7" x14ac:dyDescent="0.35">
      <c r="A60">
        <v>2021</v>
      </c>
      <c r="B60">
        <v>11</v>
      </c>
      <c r="C60" s="1">
        <v>44501</v>
      </c>
      <c r="D60">
        <v>0</v>
      </c>
      <c r="E60">
        <v>0</v>
      </c>
      <c r="F60">
        <v>7</v>
      </c>
      <c r="G60">
        <v>58</v>
      </c>
    </row>
    <row r="61" spans="1:7" x14ac:dyDescent="0.35">
      <c r="A61">
        <v>2021</v>
      </c>
      <c r="B61">
        <v>12</v>
      </c>
      <c r="C61" s="1">
        <v>44531</v>
      </c>
      <c r="D61">
        <v>0.20809115715394899</v>
      </c>
      <c r="E61">
        <v>6.4508258717724303</v>
      </c>
      <c r="F61">
        <v>5</v>
      </c>
      <c r="G61">
        <v>25</v>
      </c>
    </row>
    <row r="62" spans="1:7" x14ac:dyDescent="0.35">
      <c r="A62">
        <v>2022</v>
      </c>
      <c r="B62">
        <v>1</v>
      </c>
      <c r="C62" s="1">
        <v>44562</v>
      </c>
      <c r="D62">
        <v>0.17100357722898299</v>
      </c>
      <c r="E62">
        <v>5.3011108940984997</v>
      </c>
      <c r="F62">
        <v>5</v>
      </c>
      <c r="G62">
        <v>21</v>
      </c>
    </row>
    <row r="63" spans="1:7" x14ac:dyDescent="0.35">
      <c r="A63">
        <v>2022</v>
      </c>
      <c r="B63">
        <v>2</v>
      </c>
      <c r="C63" s="1">
        <v>44593</v>
      </c>
      <c r="D63">
        <v>0.60876204913529397</v>
      </c>
      <c r="E63">
        <v>17.045337375788201</v>
      </c>
      <c r="F63">
        <v>4</v>
      </c>
      <c r="G63">
        <v>14</v>
      </c>
    </row>
    <row r="64" spans="1:7" x14ac:dyDescent="0.35">
      <c r="A64">
        <v>2022</v>
      </c>
      <c r="B64">
        <v>3</v>
      </c>
      <c r="C64" s="1">
        <v>44621</v>
      </c>
      <c r="D64">
        <v>0</v>
      </c>
      <c r="E64">
        <v>0</v>
      </c>
      <c r="F64">
        <v>2</v>
      </c>
      <c r="G64">
        <v>9</v>
      </c>
    </row>
    <row r="65" spans="1:7" x14ac:dyDescent="0.35">
      <c r="A65">
        <v>2022</v>
      </c>
      <c r="B65">
        <v>4</v>
      </c>
      <c r="C65" s="1">
        <v>44652</v>
      </c>
      <c r="D65">
        <v>6.4564834288376699E-2</v>
      </c>
      <c r="E65">
        <v>1.9369450286512999</v>
      </c>
      <c r="F65">
        <v>11</v>
      </c>
      <c r="G65">
        <v>21</v>
      </c>
    </row>
    <row r="66" spans="1:7" x14ac:dyDescent="0.35">
      <c r="A66">
        <v>2022</v>
      </c>
      <c r="B66">
        <v>5</v>
      </c>
      <c r="C66" s="1">
        <v>44682</v>
      </c>
      <c r="D66">
        <v>7.4226108004801006E-2</v>
      </c>
      <c r="E66">
        <v>2.3010093481488298</v>
      </c>
      <c r="F66">
        <v>89</v>
      </c>
      <c r="G66">
        <v>1255</v>
      </c>
    </row>
    <row r="67" spans="1:7" x14ac:dyDescent="0.35">
      <c r="A67">
        <v>2022</v>
      </c>
      <c r="B67">
        <v>6</v>
      </c>
      <c r="C67" s="1">
        <v>44713</v>
      </c>
      <c r="D67">
        <v>7.9994980060541801E-2</v>
      </c>
      <c r="E67">
        <v>2.3998494018162502</v>
      </c>
      <c r="F67">
        <v>143</v>
      </c>
      <c r="G67">
        <v>1991</v>
      </c>
    </row>
    <row r="68" spans="1:7" x14ac:dyDescent="0.35">
      <c r="A68">
        <v>2022</v>
      </c>
      <c r="B68">
        <v>7</v>
      </c>
      <c r="C68" s="1">
        <v>44743</v>
      </c>
      <c r="D68">
        <v>9.6925147813787402E-2</v>
      </c>
      <c r="E68">
        <v>3.0046795822273999</v>
      </c>
      <c r="F68">
        <v>115</v>
      </c>
      <c r="G68">
        <v>2084</v>
      </c>
    </row>
    <row r="69" spans="1:7" x14ac:dyDescent="0.35">
      <c r="A69">
        <v>2022</v>
      </c>
      <c r="B69">
        <v>8</v>
      </c>
      <c r="C69" s="1">
        <v>44774</v>
      </c>
      <c r="D69">
        <v>0.10286082613923</v>
      </c>
      <c r="E69">
        <v>3.1886856103161398</v>
      </c>
      <c r="F69">
        <v>91</v>
      </c>
      <c r="G69">
        <v>1473</v>
      </c>
    </row>
    <row r="70" spans="1:7" x14ac:dyDescent="0.35">
      <c r="A70">
        <v>2022</v>
      </c>
      <c r="B70">
        <v>9</v>
      </c>
      <c r="C70" s="1">
        <v>44805</v>
      </c>
      <c r="D70">
        <v>0.11817316349955601</v>
      </c>
      <c r="E70">
        <v>3.5451949049866802</v>
      </c>
      <c r="F70">
        <v>69</v>
      </c>
      <c r="G70">
        <v>1036</v>
      </c>
    </row>
    <row r="71" spans="1:7" x14ac:dyDescent="0.35">
      <c r="A71">
        <v>2022</v>
      </c>
      <c r="B71">
        <v>10</v>
      </c>
      <c r="C71" s="1">
        <v>44835</v>
      </c>
      <c r="D71">
        <v>0.23392125215231099</v>
      </c>
      <c r="E71">
        <v>7.2515588167216398</v>
      </c>
      <c r="F71">
        <v>35</v>
      </c>
      <c r="G71">
        <v>163</v>
      </c>
    </row>
    <row r="72" spans="1:7" x14ac:dyDescent="0.35">
      <c r="A72">
        <v>2022</v>
      </c>
      <c r="B72">
        <v>11</v>
      </c>
      <c r="C72" s="1">
        <v>44866</v>
      </c>
      <c r="D72">
        <v>0</v>
      </c>
      <c r="E72">
        <v>0</v>
      </c>
      <c r="F72">
        <v>5</v>
      </c>
      <c r="G72">
        <v>27</v>
      </c>
    </row>
    <row r="73" spans="1:7" x14ac:dyDescent="0.35">
      <c r="A73">
        <v>2022</v>
      </c>
      <c r="B73">
        <v>12</v>
      </c>
      <c r="C73" s="1">
        <v>44896</v>
      </c>
      <c r="D73">
        <v>0</v>
      </c>
      <c r="E73">
        <v>0</v>
      </c>
      <c r="F73">
        <v>1</v>
      </c>
      <c r="G73">
        <v>2</v>
      </c>
    </row>
    <row r="74" spans="1:7" x14ac:dyDescent="0.35">
      <c r="A74">
        <v>2023</v>
      </c>
      <c r="B74">
        <v>1</v>
      </c>
      <c r="C74" s="1">
        <v>44927</v>
      </c>
      <c r="D74">
        <v>0</v>
      </c>
      <c r="E74">
        <v>0</v>
      </c>
      <c r="F74">
        <v>1</v>
      </c>
      <c r="G74">
        <v>3</v>
      </c>
    </row>
    <row r="75" spans="1:7" x14ac:dyDescent="0.35">
      <c r="A75">
        <v>2023</v>
      </c>
      <c r="B75">
        <v>2</v>
      </c>
      <c r="C75" s="1">
        <v>44958</v>
      </c>
      <c r="D75">
        <v>0.28620689655172399</v>
      </c>
      <c r="E75">
        <v>8.0137931034482701</v>
      </c>
      <c r="F75">
        <v>2</v>
      </c>
      <c r="G75">
        <v>5</v>
      </c>
    </row>
    <row r="76" spans="1:7" x14ac:dyDescent="0.35">
      <c r="A76">
        <v>2023</v>
      </c>
      <c r="B76">
        <v>3</v>
      </c>
      <c r="C76" s="1">
        <v>44986</v>
      </c>
      <c r="D76">
        <v>0.57279748284774401</v>
      </c>
      <c r="E76">
        <v>17.756721968280001</v>
      </c>
      <c r="F76">
        <v>2</v>
      </c>
      <c r="G76">
        <v>14</v>
      </c>
    </row>
    <row r="77" spans="1:7" x14ac:dyDescent="0.35">
      <c r="A77">
        <v>2023</v>
      </c>
      <c r="B77">
        <v>4</v>
      </c>
      <c r="C77" s="1">
        <v>45017</v>
      </c>
      <c r="D77">
        <v>0.32806898739819201</v>
      </c>
      <c r="E77">
        <v>9.84206962194577</v>
      </c>
      <c r="F77">
        <v>10</v>
      </c>
      <c r="G77">
        <v>45</v>
      </c>
    </row>
    <row r="78" spans="1:7" x14ac:dyDescent="0.35">
      <c r="A78">
        <v>2023</v>
      </c>
      <c r="B78">
        <v>5</v>
      </c>
      <c r="C78" s="1">
        <v>45047</v>
      </c>
      <c r="D78">
        <v>3.5467135796741503E-2</v>
      </c>
      <c r="E78">
        <v>1.0994812096989801</v>
      </c>
      <c r="F78">
        <v>75</v>
      </c>
      <c r="G78">
        <v>1086</v>
      </c>
    </row>
    <row r="79" spans="1:7" x14ac:dyDescent="0.35">
      <c r="A79">
        <v>2023</v>
      </c>
      <c r="B79">
        <v>6</v>
      </c>
      <c r="C79" s="1">
        <v>45078</v>
      </c>
      <c r="D79">
        <v>8.7224321084081596E-2</v>
      </c>
      <c r="E79">
        <v>2.6167296325224401</v>
      </c>
      <c r="F79">
        <v>81</v>
      </c>
      <c r="G79">
        <v>1472</v>
      </c>
    </row>
    <row r="80" spans="1:7" x14ac:dyDescent="0.35">
      <c r="A80">
        <v>2023</v>
      </c>
      <c r="B80">
        <v>7</v>
      </c>
      <c r="C80" s="1">
        <v>45108</v>
      </c>
      <c r="D80">
        <v>0.117195453767374</v>
      </c>
      <c r="E80">
        <v>3.6330590667885998</v>
      </c>
      <c r="F80">
        <v>90</v>
      </c>
      <c r="G80">
        <v>1653</v>
      </c>
    </row>
    <row r="81" spans="1:7" x14ac:dyDescent="0.35">
      <c r="A81">
        <v>2023</v>
      </c>
      <c r="B81">
        <v>8</v>
      </c>
      <c r="C81" s="1">
        <v>45139</v>
      </c>
      <c r="D81">
        <v>0.14649487123730301</v>
      </c>
      <c r="E81">
        <v>4.5413410083564099</v>
      </c>
      <c r="F81">
        <v>73</v>
      </c>
      <c r="G81">
        <v>1301</v>
      </c>
    </row>
    <row r="82" spans="1:7" x14ac:dyDescent="0.35">
      <c r="A82">
        <v>2023</v>
      </c>
      <c r="B82">
        <v>9</v>
      </c>
      <c r="C82" s="1">
        <v>45170</v>
      </c>
      <c r="D82">
        <v>9.09298727023964E-2</v>
      </c>
      <c r="E82">
        <v>2.7278961810718898</v>
      </c>
      <c r="F82">
        <v>57</v>
      </c>
      <c r="G82">
        <v>836</v>
      </c>
    </row>
    <row r="83" spans="1:7" x14ac:dyDescent="0.35">
      <c r="A83">
        <v>2023</v>
      </c>
      <c r="B83">
        <v>10</v>
      </c>
      <c r="C83" s="1">
        <v>45200</v>
      </c>
      <c r="D83">
        <v>0.190875521135242</v>
      </c>
      <c r="E83">
        <v>5.9171411551925202</v>
      </c>
      <c r="F83">
        <v>41</v>
      </c>
      <c r="G83">
        <v>229</v>
      </c>
    </row>
    <row r="84" spans="1:7" x14ac:dyDescent="0.35">
      <c r="A84">
        <v>2023</v>
      </c>
      <c r="B84">
        <v>11</v>
      </c>
      <c r="C84" s="1">
        <v>45231</v>
      </c>
      <c r="D84">
        <v>3.6349669743130199E-3</v>
      </c>
      <c r="E84">
        <v>0.10904900922939</v>
      </c>
      <c r="F84">
        <v>5</v>
      </c>
      <c r="G84">
        <v>26</v>
      </c>
    </row>
    <row r="85" spans="1:7" x14ac:dyDescent="0.35">
      <c r="A85">
        <v>2023</v>
      </c>
      <c r="B85">
        <v>12</v>
      </c>
      <c r="C85" s="1">
        <v>45261</v>
      </c>
      <c r="D85">
        <v>0</v>
      </c>
      <c r="E85">
        <v>0</v>
      </c>
      <c r="F85">
        <v>1</v>
      </c>
      <c r="G85">
        <v>2</v>
      </c>
    </row>
    <row r="86" spans="1:7" x14ac:dyDescent="0.35">
      <c r="A86">
        <v>2024</v>
      </c>
      <c r="B86">
        <v>1</v>
      </c>
      <c r="C86" s="1">
        <v>45292</v>
      </c>
      <c r="D86">
        <v>0</v>
      </c>
      <c r="E86">
        <v>0</v>
      </c>
      <c r="F86">
        <v>1</v>
      </c>
      <c r="G86">
        <v>1</v>
      </c>
    </row>
    <row r="87" spans="1:7" x14ac:dyDescent="0.35">
      <c r="A87">
        <v>2024</v>
      </c>
      <c r="B87">
        <v>2</v>
      </c>
      <c r="C87" s="1">
        <v>45323</v>
      </c>
      <c r="D87">
        <v>0.52879391524809805</v>
      </c>
      <c r="E87">
        <v>15.335023542194801</v>
      </c>
      <c r="F87">
        <v>1</v>
      </c>
      <c r="G87">
        <v>3</v>
      </c>
    </row>
    <row r="88" spans="1:7" x14ac:dyDescent="0.35">
      <c r="A88">
        <v>2024</v>
      </c>
      <c r="B88">
        <v>3</v>
      </c>
      <c r="C88" s="1">
        <v>45352</v>
      </c>
      <c r="D88">
        <v>2.0452549403418199</v>
      </c>
      <c r="E88">
        <v>63.402903150596501</v>
      </c>
      <c r="F88">
        <v>1</v>
      </c>
      <c r="G88">
        <v>15</v>
      </c>
    </row>
    <row r="89" spans="1:7" x14ac:dyDescent="0.35">
      <c r="A89">
        <v>2024</v>
      </c>
      <c r="B89">
        <v>4</v>
      </c>
      <c r="C89" s="1">
        <v>45383</v>
      </c>
      <c r="D89">
        <v>6.1346854807692299E-3</v>
      </c>
      <c r="E89">
        <v>0.18404056442307601</v>
      </c>
      <c r="F89">
        <v>13</v>
      </c>
      <c r="G89">
        <v>36</v>
      </c>
    </row>
    <row r="90" spans="1:7" x14ac:dyDescent="0.35">
      <c r="A90">
        <v>2024</v>
      </c>
      <c r="B90">
        <v>5</v>
      </c>
      <c r="C90" s="1">
        <v>45413</v>
      </c>
      <c r="D90">
        <v>5.7162699260299099E-2</v>
      </c>
      <c r="E90">
        <v>1.77204367706927</v>
      </c>
      <c r="F90">
        <v>41</v>
      </c>
      <c r="G90">
        <v>621</v>
      </c>
    </row>
    <row r="91" spans="1:7" x14ac:dyDescent="0.35">
      <c r="A91">
        <v>2024</v>
      </c>
      <c r="B91">
        <v>6</v>
      </c>
      <c r="C91" s="1">
        <v>45444</v>
      </c>
      <c r="D91">
        <v>0.105501048713602</v>
      </c>
      <c r="E91">
        <v>3.1650314614080601</v>
      </c>
      <c r="F91">
        <v>64</v>
      </c>
      <c r="G91">
        <v>1062</v>
      </c>
    </row>
    <row r="92" spans="1:7" x14ac:dyDescent="0.35">
      <c r="A92">
        <v>2024</v>
      </c>
      <c r="B92">
        <v>7</v>
      </c>
      <c r="C92" s="1">
        <v>45474</v>
      </c>
      <c r="D92">
        <v>0.33807938951424998</v>
      </c>
      <c r="E92">
        <v>10.480461074941701</v>
      </c>
      <c r="F92">
        <v>60</v>
      </c>
      <c r="G92">
        <v>1195</v>
      </c>
    </row>
    <row r="93" spans="1:7" x14ac:dyDescent="0.35">
      <c r="A93">
        <v>2024</v>
      </c>
      <c r="B93">
        <v>8</v>
      </c>
      <c r="C93" s="1">
        <v>45505</v>
      </c>
      <c r="D93">
        <v>0.25718040596069802</v>
      </c>
      <c r="E93">
        <v>7.9725925847816397</v>
      </c>
      <c r="F93">
        <v>50</v>
      </c>
      <c r="G93">
        <v>793</v>
      </c>
    </row>
    <row r="94" spans="1:7" x14ac:dyDescent="0.35">
      <c r="A94">
        <v>2024</v>
      </c>
      <c r="B94">
        <v>9</v>
      </c>
      <c r="C94" s="1">
        <v>45536</v>
      </c>
      <c r="D94">
        <v>0.30379642936544299</v>
      </c>
      <c r="E94">
        <v>9.1138928809632898</v>
      </c>
      <c r="F94">
        <v>32</v>
      </c>
      <c r="G94">
        <v>427</v>
      </c>
    </row>
    <row r="95" spans="1:7" x14ac:dyDescent="0.35">
      <c r="A95">
        <v>2024</v>
      </c>
      <c r="B95">
        <v>10</v>
      </c>
      <c r="C95" s="1">
        <v>45566</v>
      </c>
      <c r="D95">
        <v>9.7174524010803898E-2</v>
      </c>
      <c r="E95">
        <v>3.0124102443349199</v>
      </c>
      <c r="F95">
        <v>15</v>
      </c>
      <c r="G95">
        <v>153</v>
      </c>
    </row>
    <row r="96" spans="1:7" x14ac:dyDescent="0.35">
      <c r="A96">
        <v>2024</v>
      </c>
      <c r="B96">
        <v>11</v>
      </c>
      <c r="C96" s="1">
        <v>45597</v>
      </c>
      <c r="D96">
        <v>4.46093905588845E-2</v>
      </c>
      <c r="E96">
        <v>1.33828171676653</v>
      </c>
      <c r="F96">
        <v>8</v>
      </c>
      <c r="G96">
        <v>109</v>
      </c>
    </row>
    <row r="97" spans="1:7" x14ac:dyDescent="0.35">
      <c r="A97">
        <v>2024</v>
      </c>
      <c r="B97">
        <v>12</v>
      </c>
      <c r="C97" s="1">
        <v>45627</v>
      </c>
      <c r="D97">
        <v>2.02675314146736E-3</v>
      </c>
      <c r="E97">
        <v>6.2829347385488399E-2</v>
      </c>
      <c r="F97">
        <v>4</v>
      </c>
      <c r="G97">
        <v>79</v>
      </c>
    </row>
    <row r="98" spans="1:7" x14ac:dyDescent="0.35">
      <c r="A98">
        <v>2025</v>
      </c>
      <c r="B98">
        <v>1</v>
      </c>
      <c r="C98" s="1">
        <v>45658</v>
      </c>
      <c r="D98">
        <v>0</v>
      </c>
      <c r="E98">
        <v>0</v>
      </c>
      <c r="F98">
        <v>3</v>
      </c>
      <c r="G98">
        <v>52</v>
      </c>
    </row>
    <row r="99" spans="1:7" x14ac:dyDescent="0.35">
      <c r="A99">
        <v>2025</v>
      </c>
      <c r="B99">
        <v>2</v>
      </c>
      <c r="C99" s="1">
        <v>45689</v>
      </c>
      <c r="D99">
        <v>1.3605037756742201E-2</v>
      </c>
      <c r="E99">
        <v>0.38094105718878302</v>
      </c>
      <c r="F99">
        <v>2</v>
      </c>
      <c r="G99">
        <v>34</v>
      </c>
    </row>
    <row r="100" spans="1:7" x14ac:dyDescent="0.35">
      <c r="A100">
        <v>2025</v>
      </c>
      <c r="B100">
        <v>3</v>
      </c>
      <c r="C100" s="1">
        <v>45717</v>
      </c>
      <c r="D100">
        <v>7.64869862976406E-2</v>
      </c>
      <c r="E100">
        <v>2.37109657522686</v>
      </c>
      <c r="F100">
        <v>4</v>
      </c>
      <c r="G100">
        <v>40</v>
      </c>
    </row>
    <row r="101" spans="1:7" x14ac:dyDescent="0.35">
      <c r="A101">
        <v>2025</v>
      </c>
      <c r="B101">
        <v>4</v>
      </c>
      <c r="C101" s="1">
        <v>45748</v>
      </c>
      <c r="D101">
        <v>0.25832395509753697</v>
      </c>
      <c r="E101">
        <v>7.7497186529261102</v>
      </c>
      <c r="F101">
        <v>11</v>
      </c>
      <c r="G101">
        <v>63</v>
      </c>
    </row>
    <row r="102" spans="1:7" x14ac:dyDescent="0.35">
      <c r="A102">
        <v>2025</v>
      </c>
      <c r="B102">
        <v>5</v>
      </c>
      <c r="C102" s="1">
        <v>45778</v>
      </c>
      <c r="D102">
        <v>0.13260294055434901</v>
      </c>
      <c r="E102">
        <v>4.1106911571848403</v>
      </c>
      <c r="F102">
        <v>37</v>
      </c>
      <c r="G102">
        <v>416</v>
      </c>
    </row>
    <row r="103" spans="1:7" x14ac:dyDescent="0.35">
      <c r="A103">
        <v>2025</v>
      </c>
      <c r="B103">
        <v>6</v>
      </c>
      <c r="C103" s="1">
        <v>45809</v>
      </c>
      <c r="D103">
        <v>0.23362152857310201</v>
      </c>
      <c r="E103">
        <v>7.0086458571930699</v>
      </c>
      <c r="F103">
        <v>40</v>
      </c>
      <c r="G103">
        <v>714</v>
      </c>
    </row>
    <row r="104" spans="1:7" x14ac:dyDescent="0.35">
      <c r="A104">
        <v>2025</v>
      </c>
      <c r="B104">
        <v>7</v>
      </c>
      <c r="C104" s="1">
        <v>45839</v>
      </c>
      <c r="D104">
        <v>0.24176782879571401</v>
      </c>
      <c r="E104">
        <v>7.4948026926671396</v>
      </c>
      <c r="F104">
        <v>35</v>
      </c>
      <c r="G104">
        <v>703</v>
      </c>
    </row>
    <row r="105" spans="1:7" x14ac:dyDescent="0.35">
      <c r="A105">
        <v>2025</v>
      </c>
      <c r="B105">
        <v>8</v>
      </c>
      <c r="C105" s="1">
        <v>45870</v>
      </c>
      <c r="D105">
        <v>0.37389659476409098</v>
      </c>
      <c r="E105">
        <v>11.5907944376868</v>
      </c>
      <c r="F105">
        <v>29</v>
      </c>
      <c r="G105">
        <v>603</v>
      </c>
    </row>
    <row r="106" spans="1:7" x14ac:dyDescent="0.35">
      <c r="A106">
        <v>2025</v>
      </c>
      <c r="B106">
        <v>9</v>
      </c>
      <c r="C106" s="1">
        <v>45901</v>
      </c>
      <c r="D106">
        <v>0.238204395709394</v>
      </c>
      <c r="E106">
        <v>7.1461318712818196</v>
      </c>
      <c r="F106">
        <v>26</v>
      </c>
      <c r="G106">
        <v>376</v>
      </c>
    </row>
    <row r="107" spans="1:7" x14ac:dyDescent="0.35">
      <c r="A107">
        <v>2025</v>
      </c>
      <c r="B107">
        <v>10</v>
      </c>
      <c r="C107" s="1">
        <v>45931</v>
      </c>
      <c r="D107">
        <v>0.578297107743311</v>
      </c>
      <c r="E107">
        <v>17.927210340042599</v>
      </c>
      <c r="F107">
        <v>14</v>
      </c>
      <c r="G107">
        <v>147</v>
      </c>
    </row>
    <row r="108" spans="1:7" x14ac:dyDescent="0.35">
      <c r="A108">
        <v>2025</v>
      </c>
      <c r="B108">
        <v>11</v>
      </c>
      <c r="C108" s="1">
        <v>45962</v>
      </c>
      <c r="D108">
        <v>0.18967900303264601</v>
      </c>
      <c r="E108">
        <v>5.6903700909793802</v>
      </c>
      <c r="F108">
        <v>6</v>
      </c>
      <c r="G108">
        <v>28</v>
      </c>
    </row>
    <row r="109" spans="1:7" x14ac:dyDescent="0.35">
      <c r="A109">
        <v>2025</v>
      </c>
      <c r="B109">
        <v>12</v>
      </c>
      <c r="C109" s="1">
        <v>45992</v>
      </c>
      <c r="D109">
        <v>0</v>
      </c>
      <c r="E109">
        <v>0</v>
      </c>
      <c r="F109">
        <v>1</v>
      </c>
      <c r="G109">
        <v>25</v>
      </c>
    </row>
    <row r="110" spans="1:7" x14ac:dyDescent="0.35">
      <c r="A110">
        <v>2026</v>
      </c>
      <c r="B110">
        <v>1</v>
      </c>
      <c r="C110" s="1">
        <v>46023</v>
      </c>
      <c r="D110">
        <v>0</v>
      </c>
      <c r="E110">
        <v>0</v>
      </c>
      <c r="F110">
        <v>2</v>
      </c>
      <c r="G110">
        <v>27</v>
      </c>
    </row>
    <row r="111" spans="1:7" x14ac:dyDescent="0.35">
      <c r="A111">
        <v>2026</v>
      </c>
      <c r="B111">
        <v>2</v>
      </c>
      <c r="C111" s="1">
        <v>46054</v>
      </c>
      <c r="D111">
        <v>6.5523788773246799E-2</v>
      </c>
      <c r="E111">
        <v>1.8346660856509101</v>
      </c>
      <c r="F111">
        <v>3</v>
      </c>
      <c r="G111">
        <v>27</v>
      </c>
    </row>
    <row r="112" spans="1:7" x14ac:dyDescent="0.35">
      <c r="A112">
        <v>2026</v>
      </c>
      <c r="B112">
        <v>3</v>
      </c>
      <c r="C112" s="1">
        <v>46082</v>
      </c>
      <c r="D112">
        <v>0.57673613917562705</v>
      </c>
      <c r="E112">
        <v>17.8788203144444</v>
      </c>
      <c r="F112">
        <v>3</v>
      </c>
      <c r="G112">
        <v>50</v>
      </c>
    </row>
    <row r="113" spans="1:7" x14ac:dyDescent="0.35">
      <c r="A113">
        <v>2026</v>
      </c>
      <c r="B113">
        <v>4</v>
      </c>
      <c r="C113" s="1">
        <v>46113</v>
      </c>
      <c r="D113">
        <v>0.57128007441430695</v>
      </c>
      <c r="E113">
        <v>17.1384022324292</v>
      </c>
      <c r="F113">
        <v>6</v>
      </c>
      <c r="G113">
        <v>53</v>
      </c>
    </row>
    <row r="114" spans="1:7" x14ac:dyDescent="0.35">
      <c r="A114">
        <v>2026</v>
      </c>
      <c r="B114">
        <v>5</v>
      </c>
      <c r="C114" s="1">
        <v>46143</v>
      </c>
      <c r="D114">
        <v>0.182235605800359</v>
      </c>
      <c r="E114">
        <v>5.6493037798111301</v>
      </c>
      <c r="F114">
        <v>28</v>
      </c>
      <c r="G114">
        <v>296</v>
      </c>
    </row>
    <row r="115" spans="1:7" x14ac:dyDescent="0.35">
      <c r="A115">
        <v>2026</v>
      </c>
      <c r="B115">
        <v>6</v>
      </c>
      <c r="C115" s="1">
        <v>46174</v>
      </c>
      <c r="D115">
        <v>0.11239750774288899</v>
      </c>
      <c r="E115">
        <v>3.3719252322866899</v>
      </c>
      <c r="F115">
        <v>35</v>
      </c>
      <c r="G115">
        <v>599</v>
      </c>
    </row>
    <row r="116" spans="1:7" x14ac:dyDescent="0.35">
      <c r="A116">
        <v>2026</v>
      </c>
      <c r="B116">
        <v>7</v>
      </c>
      <c r="C116" s="1">
        <v>46204</v>
      </c>
      <c r="D116">
        <v>0.42701257240193002</v>
      </c>
      <c r="E116">
        <v>13.237389744459801</v>
      </c>
      <c r="F116">
        <v>34</v>
      </c>
      <c r="G116">
        <v>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695B-A0C8-468A-9B6B-8BAFFDA9C752}">
  <dimension ref="A1:U116"/>
  <sheetViews>
    <sheetView tabSelected="1" workbookViewId="0">
      <selection activeCell="U48" sqref="U48"/>
    </sheetView>
  </sheetViews>
  <sheetFormatPr defaultRowHeight="14.5" x14ac:dyDescent="0.35"/>
  <cols>
    <col min="1" max="2" width="8.7265625" customWidth="1"/>
    <col min="3" max="3" width="12" customWidth="1"/>
    <col min="4" max="4" width="13.36328125" customWidth="1"/>
    <col min="5" max="5" width="27.6328125" customWidth="1"/>
    <col min="6" max="13" width="8.7265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</row>
    <row r="2" spans="1:21" x14ac:dyDescent="0.35">
      <c r="A2">
        <v>2017</v>
      </c>
      <c r="B2">
        <v>1</v>
      </c>
      <c r="C2" s="1">
        <v>42736</v>
      </c>
      <c r="D2">
        <v>1.41729094958493E-2</v>
      </c>
      <c r="E2">
        <v>0.43936019437133</v>
      </c>
      <c r="F2">
        <v>11</v>
      </c>
      <c r="G2">
        <v>30</v>
      </c>
      <c r="L2" t="s">
        <v>0</v>
      </c>
    </row>
    <row r="3" spans="1:21" x14ac:dyDescent="0.35">
      <c r="A3">
        <v>2017</v>
      </c>
      <c r="B3">
        <v>2</v>
      </c>
      <c r="C3" s="1">
        <v>42767</v>
      </c>
      <c r="D3">
        <v>4.7176918678611401E-2</v>
      </c>
      <c r="E3">
        <v>1.3209537230011099</v>
      </c>
      <c r="F3">
        <v>10</v>
      </c>
      <c r="G3">
        <v>19</v>
      </c>
      <c r="L3">
        <v>2017</v>
      </c>
      <c r="M3">
        <v>2018</v>
      </c>
      <c r="N3">
        <v>2019</v>
      </c>
      <c r="O3">
        <v>2020</v>
      </c>
      <c r="P3">
        <v>2021</v>
      </c>
      <c r="Q3">
        <v>2022</v>
      </c>
      <c r="R3">
        <v>2023</v>
      </c>
      <c r="S3">
        <v>2024</v>
      </c>
      <c r="T3">
        <v>2025</v>
      </c>
      <c r="U3">
        <v>2026</v>
      </c>
    </row>
    <row r="4" spans="1:21" x14ac:dyDescent="0.35">
      <c r="A4">
        <v>2017</v>
      </c>
      <c r="B4">
        <v>3</v>
      </c>
      <c r="C4" s="1">
        <v>42795</v>
      </c>
      <c r="D4">
        <v>6.2118587509674798E-2</v>
      </c>
      <c r="E4">
        <v>1.9256762127999101</v>
      </c>
      <c r="F4">
        <v>15</v>
      </c>
      <c r="G4">
        <v>39</v>
      </c>
      <c r="J4" t="s">
        <v>1</v>
      </c>
      <c r="K4">
        <v>1</v>
      </c>
      <c r="L4">
        <v>0.43936019437133</v>
      </c>
      <c r="M4">
        <v>0</v>
      </c>
      <c r="N4">
        <v>1.0155026136145999</v>
      </c>
      <c r="O4">
        <v>1.9223601890048501</v>
      </c>
      <c r="P4">
        <v>1.26120955306062E-2</v>
      </c>
      <c r="Q4">
        <v>5.3011108940984997</v>
      </c>
      <c r="R4">
        <v>0</v>
      </c>
      <c r="S4">
        <v>0</v>
      </c>
      <c r="T4">
        <v>0</v>
      </c>
      <c r="U4">
        <v>0</v>
      </c>
    </row>
    <row r="5" spans="1:21" x14ac:dyDescent="0.35">
      <c r="A5">
        <v>2017</v>
      </c>
      <c r="B5">
        <v>4</v>
      </c>
      <c r="C5" s="1">
        <v>42826</v>
      </c>
      <c r="D5">
        <v>1.8985649701298402E-2</v>
      </c>
      <c r="E5">
        <v>0.56956949103895405</v>
      </c>
      <c r="F5">
        <v>83</v>
      </c>
      <c r="G5">
        <v>238</v>
      </c>
      <c r="K5">
        <v>2</v>
      </c>
      <c r="L5">
        <v>1.3209537230011099</v>
      </c>
      <c r="M5">
        <v>0</v>
      </c>
      <c r="N5">
        <v>3.4277982963331799</v>
      </c>
      <c r="O5">
        <v>0.93144216268440205</v>
      </c>
      <c r="P5">
        <v>0.69738067391763403</v>
      </c>
      <c r="Q5">
        <v>17.045337375788201</v>
      </c>
      <c r="R5">
        <v>8.0137931034482701</v>
      </c>
      <c r="S5">
        <v>15.335023542194801</v>
      </c>
      <c r="T5">
        <v>0.38094105718878302</v>
      </c>
      <c r="U5">
        <v>1.8346660856509101</v>
      </c>
    </row>
    <row r="6" spans="1:21" x14ac:dyDescent="0.35">
      <c r="A6">
        <v>2017</v>
      </c>
      <c r="B6">
        <v>5</v>
      </c>
      <c r="C6" s="1">
        <v>42856</v>
      </c>
      <c r="D6">
        <v>8.7291297298128703E-3</v>
      </c>
      <c r="E6">
        <v>0.27060302162419803</v>
      </c>
      <c r="F6">
        <v>143</v>
      </c>
      <c r="G6">
        <v>728</v>
      </c>
      <c r="K6">
        <v>3</v>
      </c>
      <c r="L6">
        <v>1.9256762127999101</v>
      </c>
      <c r="M6">
        <v>7.3706135238453996</v>
      </c>
      <c r="N6">
        <v>1.94208672861813</v>
      </c>
      <c r="O6">
        <v>0.945288457260827</v>
      </c>
      <c r="P6">
        <v>1.43815813497822</v>
      </c>
      <c r="Q6">
        <v>0</v>
      </c>
      <c r="R6">
        <v>17.756721968280001</v>
      </c>
      <c r="S6">
        <v>63.402903150596501</v>
      </c>
      <c r="T6">
        <v>2.37109657522686</v>
      </c>
      <c r="U6">
        <v>17.8788203144444</v>
      </c>
    </row>
    <row r="7" spans="1:21" x14ac:dyDescent="0.35">
      <c r="A7">
        <v>2017</v>
      </c>
      <c r="B7">
        <v>6</v>
      </c>
      <c r="C7" s="1">
        <v>42887</v>
      </c>
      <c r="D7">
        <v>1.6452809749499499E-2</v>
      </c>
      <c r="E7">
        <v>0.49358429248498598</v>
      </c>
      <c r="F7">
        <v>168</v>
      </c>
      <c r="G7">
        <v>813</v>
      </c>
      <c r="K7">
        <v>4</v>
      </c>
      <c r="L7">
        <v>0.56956949103895405</v>
      </c>
      <c r="M7">
        <v>2.8219215392818899</v>
      </c>
      <c r="N7">
        <v>1.5084597310700101</v>
      </c>
      <c r="O7">
        <v>2.6152600482014101</v>
      </c>
      <c r="P7">
        <v>2.2559722644842499</v>
      </c>
      <c r="Q7">
        <v>1.9369450286512999</v>
      </c>
      <c r="R7">
        <v>9.84206962194577</v>
      </c>
      <c r="S7">
        <v>0.18404056442307601</v>
      </c>
      <c r="T7">
        <v>7.7497186529261102</v>
      </c>
      <c r="U7">
        <v>17.1384022324292</v>
      </c>
    </row>
    <row r="8" spans="1:21" x14ac:dyDescent="0.35">
      <c r="A8">
        <v>2017</v>
      </c>
      <c r="B8">
        <v>7</v>
      </c>
      <c r="C8" s="1">
        <v>42917</v>
      </c>
      <c r="D8">
        <v>1.89476804952158E-2</v>
      </c>
      <c r="E8">
        <v>0.58737809535169005</v>
      </c>
      <c r="F8">
        <v>193</v>
      </c>
      <c r="G8">
        <v>1245</v>
      </c>
      <c r="K8">
        <v>5</v>
      </c>
      <c r="L8">
        <v>0.27060302162419803</v>
      </c>
      <c r="M8">
        <v>1.3109879192007801</v>
      </c>
      <c r="N8">
        <v>1.0951839195887501</v>
      </c>
      <c r="O8">
        <v>2.7900645599371998</v>
      </c>
      <c r="P8">
        <v>2.8554789244871599</v>
      </c>
      <c r="Q8">
        <v>2.3010093481488298</v>
      </c>
      <c r="R8">
        <v>1.0994812096989801</v>
      </c>
      <c r="S8">
        <v>1.77204367706927</v>
      </c>
      <c r="T8">
        <v>4.1106911571848403</v>
      </c>
      <c r="U8">
        <v>5.6493037798111301</v>
      </c>
    </row>
    <row r="9" spans="1:21" x14ac:dyDescent="0.35">
      <c r="A9">
        <v>2017</v>
      </c>
      <c r="B9">
        <v>8</v>
      </c>
      <c r="C9" s="1">
        <v>42948</v>
      </c>
      <c r="D9">
        <v>2.1733562525867701E-2</v>
      </c>
      <c r="E9">
        <v>0.673740438301901</v>
      </c>
      <c r="F9">
        <v>196</v>
      </c>
      <c r="G9">
        <v>1246</v>
      </c>
      <c r="K9">
        <v>6</v>
      </c>
      <c r="L9">
        <v>0.49358429248498598</v>
      </c>
      <c r="M9">
        <v>2.0095303410169598</v>
      </c>
      <c r="N9">
        <v>1.53035299121691</v>
      </c>
      <c r="O9">
        <v>6.0565982963691898</v>
      </c>
      <c r="P9">
        <v>4.0459147322040696</v>
      </c>
      <c r="Q9">
        <v>2.3998494018162502</v>
      </c>
      <c r="R9">
        <v>2.6167296325224401</v>
      </c>
      <c r="S9">
        <v>3.1650314614080601</v>
      </c>
      <c r="T9">
        <v>7.0086458571930699</v>
      </c>
      <c r="U9">
        <v>3.3719252322866899</v>
      </c>
    </row>
    <row r="10" spans="1:21" x14ac:dyDescent="0.35">
      <c r="A10">
        <v>2017</v>
      </c>
      <c r="B10">
        <v>9</v>
      </c>
      <c r="C10" s="1">
        <v>42979</v>
      </c>
      <c r="D10">
        <v>1.10771650038799E-2</v>
      </c>
      <c r="E10">
        <v>0.332314950116399</v>
      </c>
      <c r="F10">
        <v>146</v>
      </c>
      <c r="G10">
        <v>666</v>
      </c>
      <c r="K10">
        <v>7</v>
      </c>
      <c r="L10">
        <v>0.58737809535169005</v>
      </c>
      <c r="M10">
        <v>3.8674451044073099</v>
      </c>
      <c r="N10">
        <v>4.3599420805765199</v>
      </c>
      <c r="O10">
        <v>6.8655686640170304</v>
      </c>
      <c r="P10">
        <v>8.1932795102267004</v>
      </c>
      <c r="Q10">
        <v>3.0046795822273999</v>
      </c>
      <c r="R10">
        <v>3.6330590667885998</v>
      </c>
      <c r="S10">
        <v>10.480461074941701</v>
      </c>
      <c r="T10">
        <v>7.4948026926671396</v>
      </c>
      <c r="U10">
        <v>13.237389744459801</v>
      </c>
    </row>
    <row r="11" spans="1:21" x14ac:dyDescent="0.35">
      <c r="A11">
        <v>2017</v>
      </c>
      <c r="B11">
        <v>10</v>
      </c>
      <c r="C11" s="1">
        <v>43009</v>
      </c>
      <c r="D11">
        <v>4.1413738944574797E-3</v>
      </c>
      <c r="E11">
        <v>0.12838259072818201</v>
      </c>
      <c r="F11">
        <v>76</v>
      </c>
      <c r="G11">
        <v>285</v>
      </c>
      <c r="K11">
        <v>8</v>
      </c>
      <c r="L11">
        <v>0.673740438301901</v>
      </c>
      <c r="M11">
        <v>4.3870025798468797</v>
      </c>
      <c r="N11">
        <v>3.6789254785545702</v>
      </c>
      <c r="O11">
        <v>5.9882310057223398</v>
      </c>
      <c r="P11">
        <v>6.88395351586008</v>
      </c>
      <c r="Q11">
        <v>3.1886856103161398</v>
      </c>
      <c r="R11">
        <v>4.5413410083564099</v>
      </c>
      <c r="S11">
        <v>7.9725925847816397</v>
      </c>
      <c r="T11">
        <v>11.5907944376868</v>
      </c>
    </row>
    <row r="12" spans="1:21" x14ac:dyDescent="0.35">
      <c r="A12">
        <v>2017</v>
      </c>
      <c r="B12">
        <v>11</v>
      </c>
      <c r="C12" s="1">
        <v>43040</v>
      </c>
      <c r="D12">
        <v>1.20582826423761E-4</v>
      </c>
      <c r="E12">
        <v>3.61748479271285E-3</v>
      </c>
      <c r="F12">
        <v>43</v>
      </c>
      <c r="G12">
        <v>159</v>
      </c>
      <c r="K12">
        <v>9</v>
      </c>
      <c r="L12">
        <v>0.332314950116399</v>
      </c>
      <c r="M12">
        <v>2.67216621615405</v>
      </c>
      <c r="N12">
        <v>4.6946294788694596</v>
      </c>
      <c r="O12">
        <v>6.2468770056558496</v>
      </c>
      <c r="P12">
        <v>4.9690803582422696</v>
      </c>
      <c r="Q12">
        <v>3.5451949049866802</v>
      </c>
      <c r="R12">
        <v>2.7278961810718898</v>
      </c>
      <c r="S12">
        <v>9.1138928809632898</v>
      </c>
      <c r="T12">
        <v>7.1461318712818196</v>
      </c>
    </row>
    <row r="13" spans="1:21" x14ac:dyDescent="0.35">
      <c r="A13">
        <v>2017</v>
      </c>
      <c r="B13">
        <v>12</v>
      </c>
      <c r="C13" s="1">
        <v>43070</v>
      </c>
      <c r="D13">
        <v>0</v>
      </c>
      <c r="E13">
        <v>0</v>
      </c>
      <c r="F13">
        <v>13</v>
      </c>
      <c r="G13">
        <v>67</v>
      </c>
      <c r="K13">
        <v>10</v>
      </c>
      <c r="L13">
        <v>0.12838259072818201</v>
      </c>
      <c r="M13">
        <v>1.8191560480717599</v>
      </c>
      <c r="N13">
        <v>0.75251608900627698</v>
      </c>
      <c r="O13">
        <v>0.19735054860302301</v>
      </c>
      <c r="P13">
        <v>3.2172955332331901</v>
      </c>
      <c r="Q13">
        <v>7.2515588167216398</v>
      </c>
      <c r="R13">
        <v>5.9171411551925202</v>
      </c>
      <c r="S13">
        <v>3.0124102443349199</v>
      </c>
      <c r="T13">
        <v>17.927210340042599</v>
      </c>
    </row>
    <row r="14" spans="1:21" x14ac:dyDescent="0.35">
      <c r="A14">
        <v>2018</v>
      </c>
      <c r="B14">
        <v>1</v>
      </c>
      <c r="C14" s="1">
        <v>43101</v>
      </c>
      <c r="D14">
        <v>0</v>
      </c>
      <c r="E14">
        <v>0</v>
      </c>
      <c r="F14">
        <v>11</v>
      </c>
      <c r="G14">
        <v>43</v>
      </c>
      <c r="K14">
        <v>11</v>
      </c>
      <c r="L14">
        <v>3.61748479271285E-3</v>
      </c>
      <c r="M14">
        <v>0</v>
      </c>
      <c r="N14">
        <v>6.7996694843245498E-2</v>
      </c>
      <c r="O14">
        <v>5.81226387678E-3</v>
      </c>
      <c r="P14">
        <v>0</v>
      </c>
      <c r="Q14">
        <v>0</v>
      </c>
      <c r="R14">
        <v>0.10904900922939</v>
      </c>
      <c r="S14">
        <v>1.33828171676653</v>
      </c>
      <c r="T14">
        <v>5.6903700909793802</v>
      </c>
    </row>
    <row r="15" spans="1:21" x14ac:dyDescent="0.35">
      <c r="A15">
        <v>2018</v>
      </c>
      <c r="B15">
        <v>2</v>
      </c>
      <c r="C15" s="1">
        <v>43132</v>
      </c>
      <c r="D15">
        <v>0</v>
      </c>
      <c r="E15">
        <v>0</v>
      </c>
      <c r="F15">
        <v>2</v>
      </c>
      <c r="G15">
        <v>23</v>
      </c>
      <c r="K15">
        <v>12</v>
      </c>
      <c r="L15">
        <v>0</v>
      </c>
      <c r="M15">
        <v>0</v>
      </c>
      <c r="N15">
        <v>1.0400228714033699</v>
      </c>
      <c r="O15">
        <v>0</v>
      </c>
      <c r="P15">
        <v>6.4508258717724303</v>
      </c>
      <c r="Q15">
        <v>0</v>
      </c>
      <c r="R15">
        <v>0</v>
      </c>
      <c r="S15">
        <v>6.2829347385488399E-2</v>
      </c>
      <c r="T15">
        <v>0</v>
      </c>
    </row>
    <row r="16" spans="1:21" x14ac:dyDescent="0.35">
      <c r="A16">
        <v>2018</v>
      </c>
      <c r="B16">
        <v>3</v>
      </c>
      <c r="C16" s="1">
        <v>43160</v>
      </c>
      <c r="D16">
        <v>0.237761726575658</v>
      </c>
      <c r="E16">
        <v>7.3706135238453996</v>
      </c>
      <c r="F16">
        <v>4</v>
      </c>
      <c r="G16">
        <v>41</v>
      </c>
    </row>
    <row r="17" spans="1:20" x14ac:dyDescent="0.35">
      <c r="A17">
        <v>2018</v>
      </c>
      <c r="B17">
        <v>4</v>
      </c>
      <c r="C17" s="1">
        <v>43191</v>
      </c>
      <c r="D17">
        <v>9.4064051309396601E-2</v>
      </c>
      <c r="E17">
        <v>2.8219215392818899</v>
      </c>
      <c r="F17">
        <v>34</v>
      </c>
      <c r="G17">
        <v>191</v>
      </c>
      <c r="L17">
        <f>AVERAGE(L4:L15)</f>
        <v>0.56209837455094769</v>
      </c>
      <c r="M17">
        <f t="shared" ref="M17:U17" si="0">AVERAGE(M4:M15)</f>
        <v>2.1882352726520859</v>
      </c>
      <c r="N17">
        <f t="shared" si="0"/>
        <v>2.0927847478079182</v>
      </c>
      <c r="O17">
        <f t="shared" si="0"/>
        <v>2.8804044334444083</v>
      </c>
      <c r="P17">
        <f t="shared" si="0"/>
        <v>3.4183293012447176</v>
      </c>
      <c r="Q17">
        <f t="shared" si="0"/>
        <v>3.831197580229579</v>
      </c>
      <c r="R17">
        <f t="shared" si="0"/>
        <v>4.688106829711189</v>
      </c>
      <c r="S17">
        <f t="shared" si="0"/>
        <v>9.6532925204054401</v>
      </c>
      <c r="T17">
        <f t="shared" si="0"/>
        <v>5.9558668943647826</v>
      </c>
    </row>
    <row r="18" spans="1:20" x14ac:dyDescent="0.35">
      <c r="A18">
        <v>2018</v>
      </c>
      <c r="B18">
        <v>5</v>
      </c>
      <c r="C18" s="1">
        <v>43221</v>
      </c>
      <c r="D18">
        <v>4.2289932877444501E-2</v>
      </c>
      <c r="E18">
        <v>1.3109879192007801</v>
      </c>
      <c r="F18">
        <v>102</v>
      </c>
      <c r="G18">
        <v>1191</v>
      </c>
    </row>
    <row r="19" spans="1:20" x14ac:dyDescent="0.35">
      <c r="A19">
        <v>2018</v>
      </c>
      <c r="B19">
        <v>6</v>
      </c>
      <c r="C19" s="1">
        <v>43252</v>
      </c>
      <c r="D19">
        <v>6.6984344700565399E-2</v>
      </c>
      <c r="E19">
        <v>2.0095303410169598</v>
      </c>
      <c r="F19">
        <v>107</v>
      </c>
      <c r="G19">
        <v>1419</v>
      </c>
    </row>
    <row r="20" spans="1:20" x14ac:dyDescent="0.35">
      <c r="A20">
        <v>2018</v>
      </c>
      <c r="B20">
        <v>7</v>
      </c>
      <c r="C20" s="1">
        <v>43282</v>
      </c>
      <c r="D20">
        <v>0.124756293690558</v>
      </c>
      <c r="E20">
        <v>3.8674451044073099</v>
      </c>
      <c r="F20">
        <v>99</v>
      </c>
      <c r="G20">
        <v>1756</v>
      </c>
    </row>
    <row r="21" spans="1:20" x14ac:dyDescent="0.35">
      <c r="A21">
        <v>2018</v>
      </c>
      <c r="B21">
        <v>8</v>
      </c>
      <c r="C21" s="1">
        <v>43313</v>
      </c>
      <c r="D21">
        <v>0.141516212253125</v>
      </c>
      <c r="E21">
        <v>4.3870025798468797</v>
      </c>
      <c r="F21">
        <v>99</v>
      </c>
      <c r="G21">
        <v>1598</v>
      </c>
    </row>
    <row r="22" spans="1:20" x14ac:dyDescent="0.35">
      <c r="A22">
        <v>2018</v>
      </c>
      <c r="B22">
        <v>9</v>
      </c>
      <c r="C22" s="1">
        <v>43344</v>
      </c>
      <c r="D22">
        <v>8.9072207205135104E-2</v>
      </c>
      <c r="E22">
        <v>2.67216621615405</v>
      </c>
      <c r="F22">
        <v>65</v>
      </c>
      <c r="G22">
        <v>858</v>
      </c>
    </row>
    <row r="23" spans="1:20" x14ac:dyDescent="0.35">
      <c r="A23">
        <v>2018</v>
      </c>
      <c r="B23">
        <v>10</v>
      </c>
      <c r="C23" s="1">
        <v>43374</v>
      </c>
      <c r="D23">
        <v>5.8682453163605298E-2</v>
      </c>
      <c r="E23">
        <v>1.8191560480717599</v>
      </c>
      <c r="F23">
        <v>23</v>
      </c>
      <c r="G23">
        <v>275</v>
      </c>
      <c r="L23" t="s">
        <v>8</v>
      </c>
      <c r="M23" t="s">
        <v>9</v>
      </c>
    </row>
    <row r="24" spans="1:20" x14ac:dyDescent="0.35">
      <c r="A24">
        <v>2018</v>
      </c>
      <c r="B24">
        <v>11</v>
      </c>
      <c r="C24" s="1">
        <v>43405</v>
      </c>
      <c r="D24">
        <v>0</v>
      </c>
      <c r="E24">
        <v>0</v>
      </c>
      <c r="F24">
        <v>11</v>
      </c>
      <c r="G24">
        <v>129</v>
      </c>
      <c r="L24">
        <v>1</v>
      </c>
      <c r="M24" cm="1">
        <f t="array" ref="M24:M32">TRANSPOSE(L17:T17)</f>
        <v>0.56209837455094769</v>
      </c>
    </row>
    <row r="25" spans="1:20" x14ac:dyDescent="0.35">
      <c r="A25">
        <v>2018</v>
      </c>
      <c r="B25">
        <v>12</v>
      </c>
      <c r="C25" s="1">
        <v>43435</v>
      </c>
      <c r="D25">
        <v>0</v>
      </c>
      <c r="E25">
        <v>0</v>
      </c>
      <c r="F25">
        <v>13</v>
      </c>
      <c r="G25">
        <v>156</v>
      </c>
      <c r="L25">
        <v>2</v>
      </c>
      <c r="M25">
        <v>2.1882352726520859</v>
      </c>
    </row>
    <row r="26" spans="1:20" x14ac:dyDescent="0.35">
      <c r="A26">
        <v>2019</v>
      </c>
      <c r="B26">
        <v>1</v>
      </c>
      <c r="C26" s="1">
        <v>43466</v>
      </c>
      <c r="D26">
        <v>3.2758148826277603E-2</v>
      </c>
      <c r="E26">
        <v>1.0155026136145999</v>
      </c>
      <c r="F26">
        <v>24</v>
      </c>
      <c r="G26">
        <v>221</v>
      </c>
      <c r="L26">
        <v>3</v>
      </c>
      <c r="M26">
        <v>2.0927847478079182</v>
      </c>
    </row>
    <row r="27" spans="1:20" x14ac:dyDescent="0.35">
      <c r="A27">
        <v>2019</v>
      </c>
      <c r="B27">
        <v>2</v>
      </c>
      <c r="C27" s="1">
        <v>43497</v>
      </c>
      <c r="D27">
        <v>0.122421367726185</v>
      </c>
      <c r="E27">
        <v>3.4277982963331799</v>
      </c>
      <c r="F27">
        <v>23</v>
      </c>
      <c r="G27">
        <v>251</v>
      </c>
      <c r="L27">
        <v>4</v>
      </c>
      <c r="M27">
        <v>2.8804044334444083</v>
      </c>
    </row>
    <row r="28" spans="1:20" x14ac:dyDescent="0.35">
      <c r="A28">
        <v>2019</v>
      </c>
      <c r="B28">
        <v>3</v>
      </c>
      <c r="C28" s="1">
        <v>43525</v>
      </c>
      <c r="D28">
        <v>6.2647958987681704E-2</v>
      </c>
      <c r="E28">
        <v>1.94208672861813</v>
      </c>
      <c r="F28">
        <v>23</v>
      </c>
      <c r="G28">
        <v>341</v>
      </c>
      <c r="L28">
        <v>5</v>
      </c>
      <c r="M28">
        <v>3.4183293012447176</v>
      </c>
    </row>
    <row r="29" spans="1:20" x14ac:dyDescent="0.35">
      <c r="A29">
        <v>2019</v>
      </c>
      <c r="B29">
        <v>4</v>
      </c>
      <c r="C29" s="1">
        <v>43556</v>
      </c>
      <c r="D29">
        <v>5.0281991035667002E-2</v>
      </c>
      <c r="E29">
        <v>1.5084597310700101</v>
      </c>
      <c r="F29">
        <v>52</v>
      </c>
      <c r="G29">
        <v>549</v>
      </c>
      <c r="L29">
        <v>6</v>
      </c>
      <c r="M29">
        <v>3.831197580229579</v>
      </c>
    </row>
    <row r="30" spans="1:20" x14ac:dyDescent="0.35">
      <c r="A30">
        <v>2019</v>
      </c>
      <c r="B30">
        <v>5</v>
      </c>
      <c r="C30" s="1">
        <v>43586</v>
      </c>
      <c r="D30">
        <v>3.5328513535121002E-2</v>
      </c>
      <c r="E30">
        <v>1.0951839195887501</v>
      </c>
      <c r="F30">
        <v>83</v>
      </c>
      <c r="G30">
        <v>1152</v>
      </c>
      <c r="L30">
        <v>7</v>
      </c>
      <c r="M30">
        <v>4.688106829711189</v>
      </c>
    </row>
    <row r="31" spans="1:20" x14ac:dyDescent="0.35">
      <c r="A31">
        <v>2019</v>
      </c>
      <c r="B31">
        <v>6</v>
      </c>
      <c r="C31" s="1">
        <v>43617</v>
      </c>
      <c r="D31">
        <v>5.1011766373896997E-2</v>
      </c>
      <c r="E31">
        <v>1.53035299121691</v>
      </c>
      <c r="F31">
        <v>82</v>
      </c>
      <c r="G31">
        <v>1384</v>
      </c>
      <c r="L31">
        <v>8</v>
      </c>
      <c r="M31">
        <v>9.6532925204054401</v>
      </c>
    </row>
    <row r="32" spans="1:20" x14ac:dyDescent="0.35">
      <c r="A32">
        <v>2019</v>
      </c>
      <c r="B32">
        <v>7</v>
      </c>
      <c r="C32" s="1">
        <v>43647</v>
      </c>
      <c r="D32">
        <v>0.14064329292182301</v>
      </c>
      <c r="E32">
        <v>4.3599420805765199</v>
      </c>
      <c r="F32">
        <v>88</v>
      </c>
      <c r="G32">
        <v>1728</v>
      </c>
      <c r="L32">
        <v>9</v>
      </c>
      <c r="M32">
        <v>5.9558668943647826</v>
      </c>
    </row>
    <row r="33" spans="1:11" x14ac:dyDescent="0.35">
      <c r="A33">
        <v>2019</v>
      </c>
      <c r="B33">
        <v>8</v>
      </c>
      <c r="C33" s="1">
        <v>43678</v>
      </c>
      <c r="D33">
        <v>0.118675015437244</v>
      </c>
      <c r="E33">
        <v>3.6789254785545702</v>
      </c>
      <c r="F33">
        <v>71</v>
      </c>
      <c r="G33">
        <v>1384</v>
      </c>
    </row>
    <row r="34" spans="1:11" x14ac:dyDescent="0.35">
      <c r="A34">
        <v>2019</v>
      </c>
      <c r="B34">
        <v>9</v>
      </c>
      <c r="C34" s="1">
        <v>43709</v>
      </c>
      <c r="D34">
        <v>0.15648764929564801</v>
      </c>
      <c r="E34">
        <v>4.6946294788694596</v>
      </c>
      <c r="F34">
        <v>61</v>
      </c>
      <c r="G34">
        <v>1070</v>
      </c>
    </row>
    <row r="35" spans="1:11" x14ac:dyDescent="0.35">
      <c r="A35">
        <v>2019</v>
      </c>
      <c r="B35">
        <v>10</v>
      </c>
      <c r="C35" s="1">
        <v>43739</v>
      </c>
      <c r="D35">
        <v>2.4274712548589601E-2</v>
      </c>
      <c r="E35">
        <v>0.75251608900627698</v>
      </c>
      <c r="F35">
        <v>38</v>
      </c>
      <c r="G35">
        <v>412</v>
      </c>
    </row>
    <row r="36" spans="1:11" x14ac:dyDescent="0.35">
      <c r="A36">
        <v>2019</v>
      </c>
      <c r="B36">
        <v>11</v>
      </c>
      <c r="C36" s="1">
        <v>43770</v>
      </c>
      <c r="D36">
        <v>2.2665564947748499E-3</v>
      </c>
      <c r="E36">
        <v>6.7996694843245498E-2</v>
      </c>
      <c r="F36">
        <v>27</v>
      </c>
      <c r="G36">
        <v>214</v>
      </c>
    </row>
    <row r="37" spans="1:11" x14ac:dyDescent="0.35">
      <c r="A37">
        <v>2019</v>
      </c>
      <c r="B37">
        <v>12</v>
      </c>
      <c r="C37" s="1">
        <v>43800</v>
      </c>
      <c r="D37">
        <v>3.3549124883979903E-2</v>
      </c>
      <c r="E37">
        <v>1.0400228714033699</v>
      </c>
      <c r="F37">
        <v>26</v>
      </c>
      <c r="G37">
        <v>113</v>
      </c>
    </row>
    <row r="38" spans="1:11" x14ac:dyDescent="0.35">
      <c r="A38">
        <v>2020</v>
      </c>
      <c r="B38">
        <v>1</v>
      </c>
      <c r="C38" s="1">
        <v>43831</v>
      </c>
      <c r="D38">
        <v>6.2011619000156497E-2</v>
      </c>
      <c r="E38">
        <v>1.9223601890048501</v>
      </c>
      <c r="F38">
        <v>26</v>
      </c>
      <c r="G38">
        <v>155</v>
      </c>
    </row>
    <row r="39" spans="1:11" x14ac:dyDescent="0.35">
      <c r="A39">
        <v>2020</v>
      </c>
      <c r="B39">
        <v>2</v>
      </c>
      <c r="C39" s="1">
        <v>43862</v>
      </c>
      <c r="D39">
        <v>3.2118695264979298E-2</v>
      </c>
      <c r="E39">
        <v>0.93144216268440205</v>
      </c>
      <c r="F39">
        <v>21</v>
      </c>
      <c r="G39">
        <v>136</v>
      </c>
      <c r="K39" t="s">
        <v>10</v>
      </c>
    </row>
    <row r="40" spans="1:11" x14ac:dyDescent="0.35">
      <c r="A40">
        <v>2020</v>
      </c>
      <c r="B40">
        <v>3</v>
      </c>
      <c r="C40" s="1">
        <v>43891</v>
      </c>
      <c r="D40">
        <v>3.04931760406718E-2</v>
      </c>
      <c r="E40">
        <v>0.945288457260827</v>
      </c>
      <c r="F40">
        <v>25</v>
      </c>
      <c r="G40">
        <v>236</v>
      </c>
      <c r="K40" t="s">
        <v>11</v>
      </c>
    </row>
    <row r="41" spans="1:11" x14ac:dyDescent="0.35">
      <c r="A41">
        <v>2020</v>
      </c>
      <c r="B41">
        <v>4</v>
      </c>
      <c r="C41" s="1">
        <v>43922</v>
      </c>
      <c r="D41">
        <v>8.7175334940047297E-2</v>
      </c>
      <c r="E41">
        <v>2.6152600482014101</v>
      </c>
      <c r="F41">
        <v>29</v>
      </c>
      <c r="G41">
        <v>343</v>
      </c>
      <c r="K41" t="s">
        <v>12</v>
      </c>
    </row>
    <row r="42" spans="1:11" x14ac:dyDescent="0.35">
      <c r="A42">
        <v>2020</v>
      </c>
      <c r="B42">
        <v>5</v>
      </c>
      <c r="C42" s="1">
        <v>43952</v>
      </c>
      <c r="D42">
        <v>9.0002082578619594E-2</v>
      </c>
      <c r="E42">
        <v>2.7900645599371998</v>
      </c>
      <c r="F42">
        <v>52</v>
      </c>
      <c r="G42">
        <v>732</v>
      </c>
    </row>
    <row r="43" spans="1:11" x14ac:dyDescent="0.35">
      <c r="A43">
        <v>2020</v>
      </c>
      <c r="B43">
        <v>6</v>
      </c>
      <c r="C43" s="1">
        <v>43983</v>
      </c>
      <c r="D43">
        <v>0.201886609878973</v>
      </c>
      <c r="E43">
        <v>6.0565982963691898</v>
      </c>
      <c r="F43">
        <v>50</v>
      </c>
      <c r="G43">
        <v>945</v>
      </c>
    </row>
    <row r="44" spans="1:11" x14ac:dyDescent="0.35">
      <c r="A44">
        <v>2020</v>
      </c>
      <c r="B44">
        <v>7</v>
      </c>
      <c r="C44" s="1">
        <v>44013</v>
      </c>
      <c r="D44">
        <v>0.22146995690377499</v>
      </c>
      <c r="E44">
        <v>6.8655686640170304</v>
      </c>
      <c r="F44">
        <v>59</v>
      </c>
      <c r="G44">
        <v>970</v>
      </c>
    </row>
    <row r="45" spans="1:11" x14ac:dyDescent="0.35">
      <c r="A45">
        <v>2020</v>
      </c>
      <c r="B45">
        <v>8</v>
      </c>
      <c r="C45" s="1">
        <v>44044</v>
      </c>
      <c r="D45">
        <v>0.19316874212007501</v>
      </c>
      <c r="E45">
        <v>5.9882310057223398</v>
      </c>
      <c r="F45">
        <v>43</v>
      </c>
      <c r="G45">
        <v>847</v>
      </c>
    </row>
    <row r="46" spans="1:11" x14ac:dyDescent="0.35">
      <c r="A46">
        <v>2020</v>
      </c>
      <c r="B46">
        <v>9</v>
      </c>
      <c r="C46" s="1">
        <v>44075</v>
      </c>
      <c r="D46">
        <v>0.20822923352186101</v>
      </c>
      <c r="E46">
        <v>6.2468770056558496</v>
      </c>
      <c r="F46">
        <v>38</v>
      </c>
      <c r="G46">
        <v>662</v>
      </c>
    </row>
    <row r="47" spans="1:11" x14ac:dyDescent="0.35">
      <c r="A47">
        <v>2020</v>
      </c>
      <c r="B47">
        <v>10</v>
      </c>
      <c r="C47" s="1">
        <v>44105</v>
      </c>
      <c r="D47">
        <v>6.36614672912979E-3</v>
      </c>
      <c r="E47">
        <v>0.19735054860302301</v>
      </c>
      <c r="F47">
        <v>25</v>
      </c>
      <c r="G47">
        <v>325</v>
      </c>
    </row>
    <row r="48" spans="1:11" x14ac:dyDescent="0.35">
      <c r="A48">
        <v>2020</v>
      </c>
      <c r="B48">
        <v>11</v>
      </c>
      <c r="C48" s="1">
        <v>44136</v>
      </c>
      <c r="D48">
        <v>1.9374212922599999E-4</v>
      </c>
      <c r="E48">
        <v>5.81226387678E-3</v>
      </c>
      <c r="F48">
        <v>15</v>
      </c>
      <c r="G48">
        <v>150</v>
      </c>
    </row>
    <row r="49" spans="1:7" x14ac:dyDescent="0.35">
      <c r="A49">
        <v>2020</v>
      </c>
      <c r="B49">
        <v>12</v>
      </c>
      <c r="C49" s="1">
        <v>44166</v>
      </c>
      <c r="D49">
        <v>0</v>
      </c>
      <c r="E49">
        <v>0</v>
      </c>
      <c r="F49">
        <v>13</v>
      </c>
      <c r="G49">
        <v>131</v>
      </c>
    </row>
    <row r="50" spans="1:7" x14ac:dyDescent="0.35">
      <c r="A50">
        <v>2021</v>
      </c>
      <c r="B50">
        <v>1</v>
      </c>
      <c r="C50" s="1">
        <v>44197</v>
      </c>
      <c r="D50">
        <v>4.0684179130987799E-4</v>
      </c>
      <c r="E50">
        <v>1.26120955306062E-2</v>
      </c>
      <c r="F50">
        <v>13</v>
      </c>
      <c r="G50">
        <v>108</v>
      </c>
    </row>
    <row r="51" spans="1:7" x14ac:dyDescent="0.35">
      <c r="A51">
        <v>2021</v>
      </c>
      <c r="B51">
        <v>2</v>
      </c>
      <c r="C51" s="1">
        <v>44228</v>
      </c>
      <c r="D51">
        <v>2.4906452639915502E-2</v>
      </c>
      <c r="E51">
        <v>0.69738067391763403</v>
      </c>
      <c r="F51">
        <v>8</v>
      </c>
      <c r="G51">
        <v>91</v>
      </c>
    </row>
    <row r="52" spans="1:7" x14ac:dyDescent="0.35">
      <c r="A52">
        <v>2021</v>
      </c>
      <c r="B52">
        <v>3</v>
      </c>
      <c r="C52" s="1">
        <v>44256</v>
      </c>
      <c r="D52">
        <v>4.6392197902523198E-2</v>
      </c>
      <c r="E52">
        <v>1.43815813497822</v>
      </c>
      <c r="F52">
        <v>9</v>
      </c>
      <c r="G52">
        <v>84</v>
      </c>
    </row>
    <row r="53" spans="1:7" x14ac:dyDescent="0.35">
      <c r="A53">
        <v>2021</v>
      </c>
      <c r="B53">
        <v>4</v>
      </c>
      <c r="C53" s="1">
        <v>44287</v>
      </c>
      <c r="D53">
        <v>7.5199075482808297E-2</v>
      </c>
      <c r="E53">
        <v>2.2559722644842499</v>
      </c>
      <c r="F53">
        <v>25</v>
      </c>
      <c r="G53">
        <v>109</v>
      </c>
    </row>
    <row r="54" spans="1:7" x14ac:dyDescent="0.35">
      <c r="A54">
        <v>2021</v>
      </c>
      <c r="B54">
        <v>5</v>
      </c>
      <c r="C54" s="1">
        <v>44317</v>
      </c>
      <c r="D54">
        <v>9.2112223370553706E-2</v>
      </c>
      <c r="E54">
        <v>2.8554789244871599</v>
      </c>
      <c r="F54">
        <v>62</v>
      </c>
      <c r="G54">
        <v>1169</v>
      </c>
    </row>
    <row r="55" spans="1:7" x14ac:dyDescent="0.35">
      <c r="A55">
        <v>2021</v>
      </c>
      <c r="B55">
        <v>6</v>
      </c>
      <c r="C55" s="1">
        <v>44348</v>
      </c>
      <c r="D55">
        <v>0.134863824406802</v>
      </c>
      <c r="E55">
        <v>4.0459147322040696</v>
      </c>
      <c r="F55">
        <v>61</v>
      </c>
      <c r="G55">
        <v>1288</v>
      </c>
    </row>
    <row r="56" spans="1:7" x14ac:dyDescent="0.35">
      <c r="A56">
        <v>2021</v>
      </c>
      <c r="B56">
        <v>7</v>
      </c>
      <c r="C56" s="1">
        <v>44378</v>
      </c>
      <c r="D56">
        <v>0.26429933903957098</v>
      </c>
      <c r="E56">
        <v>8.1932795102267004</v>
      </c>
      <c r="F56">
        <v>53</v>
      </c>
      <c r="G56">
        <v>1206</v>
      </c>
    </row>
    <row r="57" spans="1:7" x14ac:dyDescent="0.35">
      <c r="A57">
        <v>2021</v>
      </c>
      <c r="B57">
        <v>8</v>
      </c>
      <c r="C57" s="1">
        <v>44409</v>
      </c>
      <c r="D57">
        <v>0.22206301664064701</v>
      </c>
      <c r="E57">
        <v>6.88395351586008</v>
      </c>
      <c r="F57">
        <v>48</v>
      </c>
      <c r="G57">
        <v>901</v>
      </c>
    </row>
    <row r="58" spans="1:7" x14ac:dyDescent="0.35">
      <c r="A58">
        <v>2021</v>
      </c>
      <c r="B58">
        <v>9</v>
      </c>
      <c r="C58" s="1">
        <v>44440</v>
      </c>
      <c r="D58">
        <v>0.16563601194140901</v>
      </c>
      <c r="E58">
        <v>4.9690803582422696</v>
      </c>
      <c r="F58">
        <v>39</v>
      </c>
      <c r="G58">
        <v>602</v>
      </c>
    </row>
    <row r="59" spans="1:7" x14ac:dyDescent="0.35">
      <c r="A59">
        <v>2021</v>
      </c>
      <c r="B59">
        <v>10</v>
      </c>
      <c r="C59" s="1">
        <v>44470</v>
      </c>
      <c r="D59">
        <v>0.10378372687849</v>
      </c>
      <c r="E59">
        <v>3.2172955332331901</v>
      </c>
      <c r="F59">
        <v>26</v>
      </c>
      <c r="G59">
        <v>231</v>
      </c>
    </row>
    <row r="60" spans="1:7" x14ac:dyDescent="0.35">
      <c r="A60">
        <v>2021</v>
      </c>
      <c r="B60">
        <v>11</v>
      </c>
      <c r="C60" s="1">
        <v>44501</v>
      </c>
      <c r="D60">
        <v>0</v>
      </c>
      <c r="E60">
        <v>0</v>
      </c>
      <c r="F60">
        <v>7</v>
      </c>
      <c r="G60">
        <v>58</v>
      </c>
    </row>
    <row r="61" spans="1:7" x14ac:dyDescent="0.35">
      <c r="A61">
        <v>2021</v>
      </c>
      <c r="B61">
        <v>12</v>
      </c>
      <c r="C61" s="1">
        <v>44531</v>
      </c>
      <c r="D61">
        <v>0.20809115715394899</v>
      </c>
      <c r="E61">
        <v>6.4508258717724303</v>
      </c>
      <c r="F61">
        <v>5</v>
      </c>
      <c r="G61">
        <v>25</v>
      </c>
    </row>
    <row r="62" spans="1:7" x14ac:dyDescent="0.35">
      <c r="A62">
        <v>2022</v>
      </c>
      <c r="B62">
        <v>1</v>
      </c>
      <c r="C62" s="1">
        <v>44562</v>
      </c>
      <c r="D62">
        <v>0.17100357722898299</v>
      </c>
      <c r="E62">
        <v>5.3011108940984997</v>
      </c>
      <c r="F62">
        <v>5</v>
      </c>
      <c r="G62">
        <v>21</v>
      </c>
    </row>
    <row r="63" spans="1:7" x14ac:dyDescent="0.35">
      <c r="A63">
        <v>2022</v>
      </c>
      <c r="B63">
        <v>2</v>
      </c>
      <c r="C63" s="1">
        <v>44593</v>
      </c>
      <c r="D63">
        <v>0.60876204913529397</v>
      </c>
      <c r="E63">
        <v>17.045337375788201</v>
      </c>
      <c r="F63">
        <v>4</v>
      </c>
      <c r="G63">
        <v>14</v>
      </c>
    </row>
    <row r="64" spans="1:7" x14ac:dyDescent="0.35">
      <c r="A64">
        <v>2022</v>
      </c>
      <c r="B64">
        <v>3</v>
      </c>
      <c r="C64" s="1">
        <v>44621</v>
      </c>
      <c r="D64">
        <v>0</v>
      </c>
      <c r="E64">
        <v>0</v>
      </c>
      <c r="F64">
        <v>2</v>
      </c>
      <c r="G64">
        <v>9</v>
      </c>
    </row>
    <row r="65" spans="1:7" x14ac:dyDescent="0.35">
      <c r="A65">
        <v>2022</v>
      </c>
      <c r="B65">
        <v>4</v>
      </c>
      <c r="C65" s="1">
        <v>44652</v>
      </c>
      <c r="D65">
        <v>6.4564834288376699E-2</v>
      </c>
      <c r="E65">
        <v>1.9369450286512999</v>
      </c>
      <c r="F65">
        <v>11</v>
      </c>
      <c r="G65">
        <v>21</v>
      </c>
    </row>
    <row r="66" spans="1:7" x14ac:dyDescent="0.35">
      <c r="A66">
        <v>2022</v>
      </c>
      <c r="B66">
        <v>5</v>
      </c>
      <c r="C66" s="1">
        <v>44682</v>
      </c>
      <c r="D66">
        <v>7.4226108004801006E-2</v>
      </c>
      <c r="E66">
        <v>2.3010093481488298</v>
      </c>
      <c r="F66">
        <v>89</v>
      </c>
      <c r="G66">
        <v>1255</v>
      </c>
    </row>
    <row r="67" spans="1:7" x14ac:dyDescent="0.35">
      <c r="A67">
        <v>2022</v>
      </c>
      <c r="B67">
        <v>6</v>
      </c>
      <c r="C67" s="1">
        <v>44713</v>
      </c>
      <c r="D67">
        <v>7.9994980060541801E-2</v>
      </c>
      <c r="E67">
        <v>2.3998494018162502</v>
      </c>
      <c r="F67">
        <v>143</v>
      </c>
      <c r="G67">
        <v>1991</v>
      </c>
    </row>
    <row r="68" spans="1:7" x14ac:dyDescent="0.35">
      <c r="A68">
        <v>2022</v>
      </c>
      <c r="B68">
        <v>7</v>
      </c>
      <c r="C68" s="1">
        <v>44743</v>
      </c>
      <c r="D68">
        <v>9.6925147813787402E-2</v>
      </c>
      <c r="E68">
        <v>3.0046795822273999</v>
      </c>
      <c r="F68">
        <v>115</v>
      </c>
      <c r="G68">
        <v>2084</v>
      </c>
    </row>
    <row r="69" spans="1:7" x14ac:dyDescent="0.35">
      <c r="A69">
        <v>2022</v>
      </c>
      <c r="B69">
        <v>8</v>
      </c>
      <c r="C69" s="1">
        <v>44774</v>
      </c>
      <c r="D69">
        <v>0.10286082613923</v>
      </c>
      <c r="E69">
        <v>3.1886856103161398</v>
      </c>
      <c r="F69">
        <v>91</v>
      </c>
      <c r="G69">
        <v>1473</v>
      </c>
    </row>
    <row r="70" spans="1:7" x14ac:dyDescent="0.35">
      <c r="A70">
        <v>2022</v>
      </c>
      <c r="B70">
        <v>9</v>
      </c>
      <c r="C70" s="1">
        <v>44805</v>
      </c>
      <c r="D70">
        <v>0.11817316349955601</v>
      </c>
      <c r="E70">
        <v>3.5451949049866802</v>
      </c>
      <c r="F70">
        <v>69</v>
      </c>
      <c r="G70">
        <v>1036</v>
      </c>
    </row>
    <row r="71" spans="1:7" x14ac:dyDescent="0.35">
      <c r="A71">
        <v>2022</v>
      </c>
      <c r="B71">
        <v>10</v>
      </c>
      <c r="C71" s="1">
        <v>44835</v>
      </c>
      <c r="D71">
        <v>0.23392125215231099</v>
      </c>
      <c r="E71">
        <v>7.2515588167216398</v>
      </c>
      <c r="F71">
        <v>35</v>
      </c>
      <c r="G71">
        <v>163</v>
      </c>
    </row>
    <row r="72" spans="1:7" x14ac:dyDescent="0.35">
      <c r="A72">
        <v>2022</v>
      </c>
      <c r="B72">
        <v>11</v>
      </c>
      <c r="C72" s="1">
        <v>44866</v>
      </c>
      <c r="D72">
        <v>0</v>
      </c>
      <c r="E72">
        <v>0</v>
      </c>
      <c r="F72">
        <v>5</v>
      </c>
      <c r="G72">
        <v>27</v>
      </c>
    </row>
    <row r="73" spans="1:7" x14ac:dyDescent="0.35">
      <c r="A73">
        <v>2022</v>
      </c>
      <c r="B73">
        <v>12</v>
      </c>
      <c r="C73" s="1">
        <v>44896</v>
      </c>
      <c r="D73">
        <v>0</v>
      </c>
      <c r="E73">
        <v>0</v>
      </c>
      <c r="F73">
        <v>1</v>
      </c>
      <c r="G73">
        <v>2</v>
      </c>
    </row>
    <row r="74" spans="1:7" x14ac:dyDescent="0.35">
      <c r="A74">
        <v>2023</v>
      </c>
      <c r="B74">
        <v>1</v>
      </c>
      <c r="C74" s="1">
        <v>44927</v>
      </c>
      <c r="D74">
        <v>0</v>
      </c>
      <c r="E74">
        <v>0</v>
      </c>
      <c r="F74">
        <v>1</v>
      </c>
      <c r="G74">
        <v>3</v>
      </c>
    </row>
    <row r="75" spans="1:7" x14ac:dyDescent="0.35">
      <c r="A75">
        <v>2023</v>
      </c>
      <c r="B75">
        <v>2</v>
      </c>
      <c r="C75" s="1">
        <v>44958</v>
      </c>
      <c r="D75">
        <v>0.28620689655172399</v>
      </c>
      <c r="E75">
        <v>8.0137931034482701</v>
      </c>
      <c r="F75">
        <v>2</v>
      </c>
      <c r="G75">
        <v>5</v>
      </c>
    </row>
    <row r="76" spans="1:7" x14ac:dyDescent="0.35">
      <c r="A76">
        <v>2023</v>
      </c>
      <c r="B76">
        <v>3</v>
      </c>
      <c r="C76" s="1">
        <v>44986</v>
      </c>
      <c r="D76">
        <v>0.57279748284774401</v>
      </c>
      <c r="E76">
        <v>17.756721968280001</v>
      </c>
      <c r="F76">
        <v>2</v>
      </c>
      <c r="G76">
        <v>14</v>
      </c>
    </row>
    <row r="77" spans="1:7" x14ac:dyDescent="0.35">
      <c r="A77">
        <v>2023</v>
      </c>
      <c r="B77">
        <v>4</v>
      </c>
      <c r="C77" s="1">
        <v>45017</v>
      </c>
      <c r="D77">
        <v>0.32806898739819201</v>
      </c>
      <c r="E77">
        <v>9.84206962194577</v>
      </c>
      <c r="F77">
        <v>10</v>
      </c>
      <c r="G77">
        <v>45</v>
      </c>
    </row>
    <row r="78" spans="1:7" x14ac:dyDescent="0.35">
      <c r="A78">
        <v>2023</v>
      </c>
      <c r="B78">
        <v>5</v>
      </c>
      <c r="C78" s="1">
        <v>45047</v>
      </c>
      <c r="D78">
        <v>3.5467135796741503E-2</v>
      </c>
      <c r="E78">
        <v>1.0994812096989801</v>
      </c>
      <c r="F78">
        <v>75</v>
      </c>
      <c r="G78">
        <v>1086</v>
      </c>
    </row>
    <row r="79" spans="1:7" x14ac:dyDescent="0.35">
      <c r="A79">
        <v>2023</v>
      </c>
      <c r="B79">
        <v>6</v>
      </c>
      <c r="C79" s="1">
        <v>45078</v>
      </c>
      <c r="D79">
        <v>8.7224321084081596E-2</v>
      </c>
      <c r="E79">
        <v>2.6167296325224401</v>
      </c>
      <c r="F79">
        <v>81</v>
      </c>
      <c r="G79">
        <v>1472</v>
      </c>
    </row>
    <row r="80" spans="1:7" x14ac:dyDescent="0.35">
      <c r="A80">
        <v>2023</v>
      </c>
      <c r="B80">
        <v>7</v>
      </c>
      <c r="C80" s="1">
        <v>45108</v>
      </c>
      <c r="D80">
        <v>0.117195453767374</v>
      </c>
      <c r="E80">
        <v>3.6330590667885998</v>
      </c>
      <c r="F80">
        <v>90</v>
      </c>
      <c r="G80">
        <v>1653</v>
      </c>
    </row>
    <row r="81" spans="1:7" x14ac:dyDescent="0.35">
      <c r="A81">
        <v>2023</v>
      </c>
      <c r="B81">
        <v>8</v>
      </c>
      <c r="C81" s="1">
        <v>45139</v>
      </c>
      <c r="D81">
        <v>0.14649487123730301</v>
      </c>
      <c r="E81">
        <v>4.5413410083564099</v>
      </c>
      <c r="F81">
        <v>73</v>
      </c>
      <c r="G81">
        <v>1301</v>
      </c>
    </row>
    <row r="82" spans="1:7" x14ac:dyDescent="0.35">
      <c r="A82">
        <v>2023</v>
      </c>
      <c r="B82">
        <v>9</v>
      </c>
      <c r="C82" s="1">
        <v>45170</v>
      </c>
      <c r="D82">
        <v>9.09298727023964E-2</v>
      </c>
      <c r="E82">
        <v>2.7278961810718898</v>
      </c>
      <c r="F82">
        <v>57</v>
      </c>
      <c r="G82">
        <v>836</v>
      </c>
    </row>
    <row r="83" spans="1:7" x14ac:dyDescent="0.35">
      <c r="A83">
        <v>2023</v>
      </c>
      <c r="B83">
        <v>10</v>
      </c>
      <c r="C83" s="1">
        <v>45200</v>
      </c>
      <c r="D83">
        <v>0.190875521135242</v>
      </c>
      <c r="E83">
        <v>5.9171411551925202</v>
      </c>
      <c r="F83">
        <v>41</v>
      </c>
      <c r="G83">
        <v>229</v>
      </c>
    </row>
    <row r="84" spans="1:7" x14ac:dyDescent="0.35">
      <c r="A84">
        <v>2023</v>
      </c>
      <c r="B84">
        <v>11</v>
      </c>
      <c r="C84" s="1">
        <v>45231</v>
      </c>
      <c r="D84">
        <v>3.6349669743130199E-3</v>
      </c>
      <c r="E84">
        <v>0.10904900922939</v>
      </c>
      <c r="F84">
        <v>5</v>
      </c>
      <c r="G84">
        <v>26</v>
      </c>
    </row>
    <row r="85" spans="1:7" x14ac:dyDescent="0.35">
      <c r="A85">
        <v>2023</v>
      </c>
      <c r="B85">
        <v>12</v>
      </c>
      <c r="C85" s="1">
        <v>45261</v>
      </c>
      <c r="D85">
        <v>0</v>
      </c>
      <c r="E85">
        <v>0</v>
      </c>
      <c r="F85">
        <v>1</v>
      </c>
      <c r="G85">
        <v>2</v>
      </c>
    </row>
    <row r="86" spans="1:7" x14ac:dyDescent="0.35">
      <c r="A86">
        <v>2024</v>
      </c>
      <c r="B86">
        <v>1</v>
      </c>
      <c r="C86" s="1">
        <v>45292</v>
      </c>
      <c r="D86">
        <v>0</v>
      </c>
      <c r="E86">
        <v>0</v>
      </c>
      <c r="F86">
        <v>1</v>
      </c>
      <c r="G86">
        <v>1</v>
      </c>
    </row>
    <row r="87" spans="1:7" x14ac:dyDescent="0.35">
      <c r="A87">
        <v>2024</v>
      </c>
      <c r="B87">
        <v>2</v>
      </c>
      <c r="C87" s="1">
        <v>45323</v>
      </c>
      <c r="D87">
        <v>0.52879391524809805</v>
      </c>
      <c r="E87">
        <v>15.335023542194801</v>
      </c>
      <c r="F87">
        <v>1</v>
      </c>
      <c r="G87">
        <v>3</v>
      </c>
    </row>
    <row r="88" spans="1:7" x14ac:dyDescent="0.35">
      <c r="A88">
        <v>2024</v>
      </c>
      <c r="B88">
        <v>3</v>
      </c>
      <c r="C88" s="1">
        <v>45352</v>
      </c>
      <c r="D88">
        <v>2.0452549403418199</v>
      </c>
      <c r="E88">
        <v>63.402903150596501</v>
      </c>
      <c r="F88">
        <v>1</v>
      </c>
      <c r="G88">
        <v>15</v>
      </c>
    </row>
    <row r="89" spans="1:7" x14ac:dyDescent="0.35">
      <c r="A89">
        <v>2024</v>
      </c>
      <c r="B89">
        <v>4</v>
      </c>
      <c r="C89" s="1">
        <v>45383</v>
      </c>
      <c r="D89">
        <v>6.1346854807692299E-3</v>
      </c>
      <c r="E89">
        <v>0.18404056442307601</v>
      </c>
      <c r="F89">
        <v>13</v>
      </c>
      <c r="G89">
        <v>36</v>
      </c>
    </row>
    <row r="90" spans="1:7" x14ac:dyDescent="0.35">
      <c r="A90">
        <v>2024</v>
      </c>
      <c r="B90">
        <v>5</v>
      </c>
      <c r="C90" s="1">
        <v>45413</v>
      </c>
      <c r="D90">
        <v>5.7162699260299099E-2</v>
      </c>
      <c r="E90">
        <v>1.77204367706927</v>
      </c>
      <c r="F90">
        <v>41</v>
      </c>
      <c r="G90">
        <v>621</v>
      </c>
    </row>
    <row r="91" spans="1:7" x14ac:dyDescent="0.35">
      <c r="A91">
        <v>2024</v>
      </c>
      <c r="B91">
        <v>6</v>
      </c>
      <c r="C91" s="1">
        <v>45444</v>
      </c>
      <c r="D91">
        <v>0.105501048713602</v>
      </c>
      <c r="E91">
        <v>3.1650314614080601</v>
      </c>
      <c r="F91">
        <v>64</v>
      </c>
      <c r="G91">
        <v>1062</v>
      </c>
    </row>
    <row r="92" spans="1:7" x14ac:dyDescent="0.35">
      <c r="A92">
        <v>2024</v>
      </c>
      <c r="B92">
        <v>7</v>
      </c>
      <c r="C92" s="1">
        <v>45474</v>
      </c>
      <c r="D92">
        <v>0.33807938951424998</v>
      </c>
      <c r="E92">
        <v>10.480461074941701</v>
      </c>
      <c r="F92">
        <v>60</v>
      </c>
      <c r="G92">
        <v>1195</v>
      </c>
    </row>
    <row r="93" spans="1:7" x14ac:dyDescent="0.35">
      <c r="A93">
        <v>2024</v>
      </c>
      <c r="B93">
        <v>8</v>
      </c>
      <c r="C93" s="1">
        <v>45505</v>
      </c>
      <c r="D93">
        <v>0.25718040596069802</v>
      </c>
      <c r="E93">
        <v>7.9725925847816397</v>
      </c>
      <c r="F93">
        <v>50</v>
      </c>
      <c r="G93">
        <v>793</v>
      </c>
    </row>
    <row r="94" spans="1:7" x14ac:dyDescent="0.35">
      <c r="A94">
        <v>2024</v>
      </c>
      <c r="B94">
        <v>9</v>
      </c>
      <c r="C94" s="1">
        <v>45536</v>
      </c>
      <c r="D94">
        <v>0.30379642936544299</v>
      </c>
      <c r="E94">
        <v>9.1138928809632898</v>
      </c>
      <c r="F94">
        <v>32</v>
      </c>
      <c r="G94">
        <v>427</v>
      </c>
    </row>
    <row r="95" spans="1:7" x14ac:dyDescent="0.35">
      <c r="A95">
        <v>2024</v>
      </c>
      <c r="B95">
        <v>10</v>
      </c>
      <c r="C95" s="1">
        <v>45566</v>
      </c>
      <c r="D95">
        <v>9.7174524010803898E-2</v>
      </c>
      <c r="E95">
        <v>3.0124102443349199</v>
      </c>
      <c r="F95">
        <v>15</v>
      </c>
      <c r="G95">
        <v>153</v>
      </c>
    </row>
    <row r="96" spans="1:7" x14ac:dyDescent="0.35">
      <c r="A96">
        <v>2024</v>
      </c>
      <c r="B96">
        <v>11</v>
      </c>
      <c r="C96" s="1">
        <v>45597</v>
      </c>
      <c r="D96">
        <v>4.46093905588845E-2</v>
      </c>
      <c r="E96">
        <v>1.33828171676653</v>
      </c>
      <c r="F96">
        <v>8</v>
      </c>
      <c r="G96">
        <v>109</v>
      </c>
    </row>
    <row r="97" spans="1:7" x14ac:dyDescent="0.35">
      <c r="A97">
        <v>2024</v>
      </c>
      <c r="B97">
        <v>12</v>
      </c>
      <c r="C97" s="1">
        <v>45627</v>
      </c>
      <c r="D97">
        <v>2.02675314146736E-3</v>
      </c>
      <c r="E97">
        <v>6.2829347385488399E-2</v>
      </c>
      <c r="F97">
        <v>4</v>
      </c>
      <c r="G97">
        <v>79</v>
      </c>
    </row>
    <row r="98" spans="1:7" x14ac:dyDescent="0.35">
      <c r="A98">
        <v>2025</v>
      </c>
      <c r="B98">
        <v>1</v>
      </c>
      <c r="C98" s="1">
        <v>45658</v>
      </c>
      <c r="D98">
        <v>0</v>
      </c>
      <c r="E98">
        <v>0</v>
      </c>
      <c r="F98">
        <v>3</v>
      </c>
      <c r="G98">
        <v>52</v>
      </c>
    </row>
    <row r="99" spans="1:7" x14ac:dyDescent="0.35">
      <c r="A99">
        <v>2025</v>
      </c>
      <c r="B99">
        <v>2</v>
      </c>
      <c r="C99" s="1">
        <v>45689</v>
      </c>
      <c r="D99">
        <v>1.3605037756742201E-2</v>
      </c>
      <c r="E99">
        <v>0.38094105718878302</v>
      </c>
      <c r="F99">
        <v>2</v>
      </c>
      <c r="G99">
        <v>34</v>
      </c>
    </row>
    <row r="100" spans="1:7" x14ac:dyDescent="0.35">
      <c r="A100">
        <v>2025</v>
      </c>
      <c r="B100">
        <v>3</v>
      </c>
      <c r="C100" s="1">
        <v>45717</v>
      </c>
      <c r="D100">
        <v>7.64869862976406E-2</v>
      </c>
      <c r="E100">
        <v>2.37109657522686</v>
      </c>
      <c r="F100">
        <v>4</v>
      </c>
      <c r="G100">
        <v>40</v>
      </c>
    </row>
    <row r="101" spans="1:7" x14ac:dyDescent="0.35">
      <c r="A101">
        <v>2025</v>
      </c>
      <c r="B101">
        <v>4</v>
      </c>
      <c r="C101" s="1">
        <v>45748</v>
      </c>
      <c r="D101">
        <v>0.25832395509753697</v>
      </c>
      <c r="E101">
        <v>7.7497186529261102</v>
      </c>
      <c r="F101">
        <v>11</v>
      </c>
      <c r="G101">
        <v>63</v>
      </c>
    </row>
    <row r="102" spans="1:7" x14ac:dyDescent="0.35">
      <c r="A102">
        <v>2025</v>
      </c>
      <c r="B102">
        <v>5</v>
      </c>
      <c r="C102" s="1">
        <v>45778</v>
      </c>
      <c r="D102">
        <v>0.13260294055434901</v>
      </c>
      <c r="E102">
        <v>4.1106911571848403</v>
      </c>
      <c r="F102">
        <v>37</v>
      </c>
      <c r="G102">
        <v>416</v>
      </c>
    </row>
    <row r="103" spans="1:7" x14ac:dyDescent="0.35">
      <c r="A103">
        <v>2025</v>
      </c>
      <c r="B103">
        <v>6</v>
      </c>
      <c r="C103" s="1">
        <v>45809</v>
      </c>
      <c r="D103">
        <v>0.23362152857310201</v>
      </c>
      <c r="E103">
        <v>7.0086458571930699</v>
      </c>
      <c r="F103">
        <v>40</v>
      </c>
      <c r="G103">
        <v>714</v>
      </c>
    </row>
    <row r="104" spans="1:7" x14ac:dyDescent="0.35">
      <c r="A104">
        <v>2025</v>
      </c>
      <c r="B104">
        <v>7</v>
      </c>
      <c r="C104" s="1">
        <v>45839</v>
      </c>
      <c r="D104">
        <v>0.24176782879571401</v>
      </c>
      <c r="E104">
        <v>7.4948026926671396</v>
      </c>
      <c r="F104">
        <v>35</v>
      </c>
      <c r="G104">
        <v>703</v>
      </c>
    </row>
    <row r="105" spans="1:7" x14ac:dyDescent="0.35">
      <c r="A105">
        <v>2025</v>
      </c>
      <c r="B105">
        <v>8</v>
      </c>
      <c r="C105" s="1">
        <v>45870</v>
      </c>
      <c r="D105">
        <v>0.37389659476409098</v>
      </c>
      <c r="E105">
        <v>11.5907944376868</v>
      </c>
      <c r="F105">
        <v>29</v>
      </c>
      <c r="G105">
        <v>603</v>
      </c>
    </row>
    <row r="106" spans="1:7" x14ac:dyDescent="0.35">
      <c r="A106">
        <v>2025</v>
      </c>
      <c r="B106">
        <v>9</v>
      </c>
      <c r="C106" s="1">
        <v>45901</v>
      </c>
      <c r="D106">
        <v>0.238204395709394</v>
      </c>
      <c r="E106">
        <v>7.1461318712818196</v>
      </c>
      <c r="F106">
        <v>26</v>
      </c>
      <c r="G106">
        <v>376</v>
      </c>
    </row>
    <row r="107" spans="1:7" x14ac:dyDescent="0.35">
      <c r="A107">
        <v>2025</v>
      </c>
      <c r="B107">
        <v>10</v>
      </c>
      <c r="C107" s="1">
        <v>45931</v>
      </c>
      <c r="D107">
        <v>0.578297107743311</v>
      </c>
      <c r="E107">
        <v>17.927210340042599</v>
      </c>
      <c r="F107">
        <v>14</v>
      </c>
      <c r="G107">
        <v>147</v>
      </c>
    </row>
    <row r="108" spans="1:7" x14ac:dyDescent="0.35">
      <c r="A108">
        <v>2025</v>
      </c>
      <c r="B108">
        <v>11</v>
      </c>
      <c r="C108" s="1">
        <v>45962</v>
      </c>
      <c r="D108">
        <v>0.18967900303264601</v>
      </c>
      <c r="E108">
        <v>5.6903700909793802</v>
      </c>
      <c r="F108">
        <v>6</v>
      </c>
      <c r="G108">
        <v>28</v>
      </c>
    </row>
    <row r="109" spans="1:7" x14ac:dyDescent="0.35">
      <c r="A109">
        <v>2025</v>
      </c>
      <c r="B109">
        <v>12</v>
      </c>
      <c r="C109" s="1">
        <v>45992</v>
      </c>
      <c r="D109">
        <v>0</v>
      </c>
      <c r="E109">
        <v>0</v>
      </c>
      <c r="F109">
        <v>1</v>
      </c>
      <c r="G109">
        <v>25</v>
      </c>
    </row>
    <row r="110" spans="1:7" x14ac:dyDescent="0.35">
      <c r="A110">
        <v>2026</v>
      </c>
      <c r="B110">
        <v>1</v>
      </c>
      <c r="C110" s="1">
        <v>46023</v>
      </c>
      <c r="D110">
        <v>0</v>
      </c>
      <c r="E110">
        <v>0</v>
      </c>
      <c r="F110">
        <v>2</v>
      </c>
      <c r="G110">
        <v>27</v>
      </c>
    </row>
    <row r="111" spans="1:7" x14ac:dyDescent="0.35">
      <c r="A111">
        <v>2026</v>
      </c>
      <c r="B111">
        <v>2</v>
      </c>
      <c r="C111" s="1">
        <v>46054</v>
      </c>
      <c r="D111">
        <v>6.5523788773246799E-2</v>
      </c>
      <c r="E111">
        <v>1.8346660856509101</v>
      </c>
      <c r="F111">
        <v>3</v>
      </c>
      <c r="G111">
        <v>27</v>
      </c>
    </row>
    <row r="112" spans="1:7" x14ac:dyDescent="0.35">
      <c r="A112">
        <v>2026</v>
      </c>
      <c r="B112">
        <v>3</v>
      </c>
      <c r="C112" s="1">
        <v>46082</v>
      </c>
      <c r="D112">
        <v>0.57673613917562705</v>
      </c>
      <c r="E112">
        <v>17.8788203144444</v>
      </c>
      <c r="F112">
        <v>3</v>
      </c>
      <c r="G112">
        <v>50</v>
      </c>
    </row>
    <row r="113" spans="1:7" x14ac:dyDescent="0.35">
      <c r="A113">
        <v>2026</v>
      </c>
      <c r="B113">
        <v>4</v>
      </c>
      <c r="C113" s="1">
        <v>46113</v>
      </c>
      <c r="D113">
        <v>0.57128007441430695</v>
      </c>
      <c r="E113">
        <v>17.1384022324292</v>
      </c>
      <c r="F113">
        <v>6</v>
      </c>
      <c r="G113">
        <v>53</v>
      </c>
    </row>
    <row r="114" spans="1:7" x14ac:dyDescent="0.35">
      <c r="A114">
        <v>2026</v>
      </c>
      <c r="B114">
        <v>5</v>
      </c>
      <c r="C114" s="1">
        <v>46143</v>
      </c>
      <c r="D114">
        <v>0.182235605800359</v>
      </c>
      <c r="E114">
        <v>5.6493037798111301</v>
      </c>
      <c r="F114">
        <v>28</v>
      </c>
      <c r="G114">
        <v>296</v>
      </c>
    </row>
    <row r="115" spans="1:7" x14ac:dyDescent="0.35">
      <c r="A115">
        <v>2026</v>
      </c>
      <c r="B115">
        <v>6</v>
      </c>
      <c r="C115" s="1">
        <v>46174</v>
      </c>
      <c r="D115">
        <v>0.11239750774288899</v>
      </c>
      <c r="E115">
        <v>3.3719252322866899</v>
      </c>
      <c r="F115">
        <v>35</v>
      </c>
      <c r="G115">
        <v>599</v>
      </c>
    </row>
    <row r="116" spans="1:7" x14ac:dyDescent="0.35">
      <c r="A116">
        <v>2026</v>
      </c>
      <c r="B116">
        <v>7</v>
      </c>
      <c r="C116" s="1">
        <v>46204</v>
      </c>
      <c r="D116">
        <v>0.42701257240193002</v>
      </c>
      <c r="E116">
        <v>13.237389744459801</v>
      </c>
      <c r="F116">
        <v>34</v>
      </c>
      <c r="G116">
        <v>496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precip_monthly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Slezas</dc:creator>
  <cp:lastModifiedBy>Slezas, Roland</cp:lastModifiedBy>
  <dcterms:created xsi:type="dcterms:W3CDTF">2026-09-14T21:26:46Z</dcterms:created>
  <dcterms:modified xsi:type="dcterms:W3CDTF">2026-09-14T21:55:05Z</dcterms:modified>
</cp:coreProperties>
</file>