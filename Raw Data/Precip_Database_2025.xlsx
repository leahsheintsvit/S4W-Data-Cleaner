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lan\My OneDrive\Desktop\S4W Data Cleaner\Raw Data\"/>
    </mc:Choice>
  </mc:AlternateContent>
  <xr:revisionPtr revIDLastSave="0" documentId="13_ncr:1_{BABF0114-0937-4D2C-AD3E-91B73A2337A1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Note" sheetId="9" r:id="rId1"/>
    <sheet name="From_Web_App" sheetId="1" r:id="rId2"/>
    <sheet name="CS_Informat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K58" i="1" l="1"/>
  <c r="FK57" i="1"/>
  <c r="FK56" i="1"/>
  <c r="FK55" i="1"/>
  <c r="FK54" i="1"/>
  <c r="FK53" i="1"/>
  <c r="FK52" i="1"/>
  <c r="FK51" i="1"/>
  <c r="FK50" i="1"/>
  <c r="FK49" i="1"/>
  <c r="FK48" i="1"/>
  <c r="FK47" i="1"/>
  <c r="FK46" i="1"/>
  <c r="FK45" i="1"/>
  <c r="FK44" i="1"/>
  <c r="FK43" i="1"/>
  <c r="FK42" i="1"/>
  <c r="FK41" i="1"/>
  <c r="FK40" i="1"/>
  <c r="FK39" i="1"/>
  <c r="FK38" i="1"/>
  <c r="FK37" i="1"/>
  <c r="FK36" i="1"/>
  <c r="FK35" i="1"/>
  <c r="FK34" i="1"/>
  <c r="FK33" i="1"/>
  <c r="FK32" i="1"/>
  <c r="FK31" i="1"/>
  <c r="FK30" i="1"/>
  <c r="FK29" i="1"/>
  <c r="FK28" i="1"/>
  <c r="FK27" i="1"/>
  <c r="FK26" i="1"/>
  <c r="FK25" i="1"/>
  <c r="FK24" i="1"/>
  <c r="FK23" i="1"/>
  <c r="FK22" i="1"/>
  <c r="FK21" i="1"/>
  <c r="FK20" i="1"/>
  <c r="FK19" i="1"/>
  <c r="FK18" i="1"/>
  <c r="FK17" i="1"/>
  <c r="FK16" i="1"/>
  <c r="FK15" i="1"/>
  <c r="FK14" i="1"/>
  <c r="FK13" i="1"/>
  <c r="FK12" i="1"/>
  <c r="FK11" i="1"/>
  <c r="FK10" i="1"/>
  <c r="FK9" i="1"/>
  <c r="FK8" i="1"/>
  <c r="FK7" i="1"/>
  <c r="FK6" i="1"/>
  <c r="FK5" i="1"/>
  <c r="FK4" i="1"/>
  <c r="FK3" i="1"/>
  <c r="FK2" i="1"/>
  <c r="FK6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tc={67489940-cf4e-4a89-87e2-ae2558b2fe4a}</author>
  </authors>
  <commentList>
    <comment ref="DK42" authorId="0" shapeId="0" xr:uid="{67489940-CF4E-4A89-87E2-AE2558B2FE4A}">
      <text>
        <t>[Threaded comment]
Your version of Excel allows you to read this threaded comment; however, any edits to it will get removed if the file is opened in a newer version of Excel. Learn more: https://go.microsoft.com/fwlink/?linkid=870924
Comment:
    45 meausrements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tc={c418abd0-73b2-4810-9191-5195b76521e2}</author>
    <author>tc={f6ccfc8a-8ee2-477d-b8ec-886de9e8a982}</author>
    <author>tc={69761046-3f00-4e75-99a1-9d36bce5e367}</author>
  </authors>
  <commentList>
    <comment ref="A29" authorId="0" shapeId="0" xr:uid="{C418ABD0-73B2-4810-9191-5195B76521E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send certificate</t>
      </text>
    </comment>
    <comment ref="A32" authorId="1" shapeId="0" xr:uid="{F6CCFC8A-8EE2-477D-B8EC-886DE9E8A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new gauge</t>
      </text>
    </comment>
    <comment ref="A33" authorId="2" shapeId="0" xr:uid="{69761046-3F00-4E75-99A1-9D36BCE5E367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new gauge</t>
      </text>
    </comment>
  </commentList>
</comments>
</file>

<file path=xl/sharedStrings.xml><?xml version="1.0" encoding="utf-8"?>
<sst xmlns="http://schemas.openxmlformats.org/spreadsheetml/2006/main" count="348" uniqueCount="189">
  <si>
    <t>MonID</t>
  </si>
  <si>
    <t>Latitude</t>
  </si>
  <si>
    <t>Longitude</t>
  </si>
  <si>
    <t>No_msmt</t>
  </si>
  <si>
    <t>Aagaman Aaganja</t>
  </si>
  <si>
    <t>Ankitam Khanal</t>
  </si>
  <si>
    <t>Bibek KC</t>
  </si>
  <si>
    <t>Bijgina Maharjan</t>
  </si>
  <si>
    <t>Biju Pradhan</t>
  </si>
  <si>
    <t>Bimal Karmacharya</t>
  </si>
  <si>
    <t>Binita Chaguthi</t>
  </si>
  <si>
    <t>Binit Timalsina</t>
  </si>
  <si>
    <t>Bishal Dahal</t>
  </si>
  <si>
    <t>Chandani Chand</t>
  </si>
  <si>
    <t>Devaki Kafle</t>
  </si>
  <si>
    <t>Dinesh Shakya</t>
  </si>
  <si>
    <t>Hem Raj Joshi</t>
  </si>
  <si>
    <t>Imej Gautam</t>
  </si>
  <si>
    <t>Janney Kayastha</t>
  </si>
  <si>
    <t>Kanchan Khanal</t>
  </si>
  <si>
    <t>Kaushal Rijal</t>
  </si>
  <si>
    <t>Temporary adress</t>
  </si>
  <si>
    <t>Krishna Kumar Mahato</t>
  </si>
  <si>
    <t>Jhaukhel</t>
  </si>
  <si>
    <t>Kritika Deshar</t>
  </si>
  <si>
    <t xml:space="preserve">Balkot, bhaktapur </t>
  </si>
  <si>
    <t>Lalitpur</t>
  </si>
  <si>
    <t>Suryabinayak</t>
  </si>
  <si>
    <t>Lajjita Bhatta</t>
  </si>
  <si>
    <t>Bhaktapur</t>
  </si>
  <si>
    <t>Basagopal</t>
  </si>
  <si>
    <t>Link marg, Kuleshwor</t>
  </si>
  <si>
    <t>Anamnagar-29, Kathamandu</t>
  </si>
  <si>
    <t>Manish Kumar Mahato</t>
  </si>
  <si>
    <t>Kritipur</t>
  </si>
  <si>
    <t xml:space="preserve">Naya Thimi, Bhaktapur </t>
  </si>
  <si>
    <t>Kalanki</t>
  </si>
  <si>
    <t>Sanagau</t>
  </si>
  <si>
    <t>Nepaltar, Tarakeshwar-11, Kathmandu</t>
  </si>
  <si>
    <t>Godawari 11, Chapagaun</t>
  </si>
  <si>
    <t>Manisha Bhusal</t>
  </si>
  <si>
    <t>Changynarayan</t>
  </si>
  <si>
    <t>Manisha Thapa</t>
  </si>
  <si>
    <t>Tinkune</t>
  </si>
  <si>
    <t>Chapagaun</t>
  </si>
  <si>
    <t>Gokarna</t>
  </si>
  <si>
    <t>Balkumari</t>
  </si>
  <si>
    <t>Nabraj Poudel</t>
  </si>
  <si>
    <t>Kritipur Panga</t>
  </si>
  <si>
    <t>Patan Chakupat</t>
  </si>
  <si>
    <t>Namrata Singh</t>
  </si>
  <si>
    <t>Changunarayan</t>
  </si>
  <si>
    <t>Office</t>
  </si>
  <si>
    <t>Banepa</t>
  </si>
  <si>
    <t>Prabesh Shrestha</t>
  </si>
  <si>
    <t>Kapan</t>
  </si>
  <si>
    <t>Pratina Rai</t>
  </si>
  <si>
    <t>Pratistha Dhaubanjar</t>
  </si>
  <si>
    <t>Banasthali, Kathmandu</t>
  </si>
  <si>
    <t>Preju Khanal</t>
  </si>
  <si>
    <t>Imadol</t>
  </si>
  <si>
    <t>Priyanka Yadav</t>
  </si>
  <si>
    <t>Rahul Kumar Sah</t>
  </si>
  <si>
    <t>Chandragiri, Kathmandu</t>
  </si>
  <si>
    <t>Rajesh Gautam</t>
  </si>
  <si>
    <t>Rajju Poudel</t>
  </si>
  <si>
    <t>Ranjita Shrestha</t>
  </si>
  <si>
    <t>Thasikhel, Lalitpur</t>
  </si>
  <si>
    <t>Rashmi Shrestha</t>
  </si>
  <si>
    <t xml:space="preserve">	Bibicha, Bhaktapur</t>
  </si>
  <si>
    <t>Ravvie Khyaju</t>
  </si>
  <si>
    <t>Kaushaltar</t>
  </si>
  <si>
    <t>Rejina Karki</t>
  </si>
  <si>
    <t>Shreejananagar</t>
  </si>
  <si>
    <t>Rohinee Bishwas</t>
  </si>
  <si>
    <t>Boudha, Kathmandu</t>
  </si>
  <si>
    <t>Rojina Chimouriya</t>
  </si>
  <si>
    <t>Sundarijal</t>
  </si>
  <si>
    <t>Sabina Tamang</t>
  </si>
  <si>
    <t>Imadol, Lalitpur</t>
  </si>
  <si>
    <t>Sadhana Adhikari</t>
  </si>
  <si>
    <t>Sagar Gosai</t>
  </si>
  <si>
    <t>Thimi, Bhaktapur</t>
  </si>
  <si>
    <t>Samjana Thapa</t>
  </si>
  <si>
    <t>Panauti</t>
  </si>
  <si>
    <t>Samjana Timalsina</t>
  </si>
  <si>
    <t>Nakkhudole</t>
  </si>
  <si>
    <t>Sangharsh Acharya</t>
  </si>
  <si>
    <t>Macchapokhari</t>
  </si>
  <si>
    <t>Sargam Rai</t>
  </si>
  <si>
    <t>Gongabu area, Kathmandu Metropolitan City 26</t>
  </si>
  <si>
    <t>Sarika Katwal</t>
  </si>
  <si>
    <t>Subidhanagar Tinkune</t>
  </si>
  <si>
    <t>Sharad Kumar Neupane</t>
  </si>
  <si>
    <t>Gatthaghar</t>
  </si>
  <si>
    <t>Shrena Shrestha</t>
  </si>
  <si>
    <t>Gonsal</t>
  </si>
  <si>
    <t>Sudeep Duwal</t>
  </si>
  <si>
    <t>Ramkot, Sitapaila</t>
  </si>
  <si>
    <t>Sulakshya Bhandari</t>
  </si>
  <si>
    <t>Suraj Prajapati</t>
  </si>
  <si>
    <t>UESC</t>
  </si>
  <si>
    <t>Kritipur, kathmandu</t>
  </si>
  <si>
    <t>Upendra Bogati</t>
  </si>
  <si>
    <t>Kamalbinayak, Bhaktapur</t>
  </si>
  <si>
    <t>Vidhya Rai</t>
  </si>
  <si>
    <t>Tyanglaphat, Kirtipur</t>
  </si>
  <si>
    <t>Yogesh Poudel</t>
  </si>
  <si>
    <t>Name</t>
  </si>
  <si>
    <t>Email</t>
  </si>
  <si>
    <t>Contact</t>
  </si>
  <si>
    <t>Recuitment_Method</t>
  </si>
  <si>
    <t>Staff</t>
  </si>
  <si>
    <t>aagamanaaganja2@gmail.com</t>
  </si>
  <si>
    <t>Past</t>
  </si>
  <si>
    <t>Social Media</t>
  </si>
  <si>
    <t>Visit</t>
  </si>
  <si>
    <t>Gauge_distribution Method</t>
  </si>
  <si>
    <t>CS Meet (New)</t>
  </si>
  <si>
    <t>ankkhanal1666@gmail.com</t>
  </si>
  <si>
    <t>Ashmita Acharya</t>
  </si>
  <si>
    <t xml:space="preserve">Kalopul,Kathmandu </t>
  </si>
  <si>
    <t>ashmitaacharya629@gmail.com</t>
  </si>
  <si>
    <t>bipinkc999@gmail.com</t>
  </si>
  <si>
    <t>biginamaharjan12@gmail.com</t>
  </si>
  <si>
    <t>biju_ram2007@hotmail.com</t>
  </si>
  <si>
    <t>bml.karma@gmail.com</t>
  </si>
  <si>
    <t>Office visit</t>
  </si>
  <si>
    <t>binichaguthi1224@gmail.com</t>
  </si>
  <si>
    <t>binittimalsina@gmail.com</t>
  </si>
  <si>
    <t>080mswre006.bishal@pcampus.edu.np</t>
  </si>
  <si>
    <t>chandchandani38@gmail.com</t>
  </si>
  <si>
    <t>kafledevaki59@gmail.com</t>
  </si>
  <si>
    <t>Outreach</t>
  </si>
  <si>
    <t>NCIT</t>
  </si>
  <si>
    <t>dineshshakya000@gmail.com</t>
  </si>
  <si>
    <t>hemraj420786@gmail.com</t>
  </si>
  <si>
    <t>077bce061.imej@pcampus.edu.np</t>
  </si>
  <si>
    <t xml:space="preserve">kayasthajanney@gmail.com </t>
  </si>
  <si>
    <t>NEC</t>
  </si>
  <si>
    <t>w</t>
  </si>
  <si>
    <t>kaushalrijal@smartphones4water.org</t>
  </si>
  <si>
    <t>New</t>
  </si>
  <si>
    <t>allismine46@gmail.com</t>
  </si>
  <si>
    <t>desharkritika@gmail.com</t>
  </si>
  <si>
    <t>lajjitabhatta@gmail.com</t>
  </si>
  <si>
    <t>manishkmahato@2000gmail.com</t>
  </si>
  <si>
    <t>thapamanisha278@gmail.com</t>
  </si>
  <si>
    <t>nabaraj211823@ncit.edu.np</t>
  </si>
  <si>
    <t>ns548068@gmail.com</t>
  </si>
  <si>
    <t>sprabesh111@gmail.com</t>
  </si>
  <si>
    <t>pratinarai678@gmail.com</t>
  </si>
  <si>
    <t>pratisthadhaubanjar@gmail.com</t>
  </si>
  <si>
    <t>khnl.preju19@gmail.com</t>
  </si>
  <si>
    <t>yadavpriya2059@gmail.com</t>
  </si>
  <si>
    <t>rrahuldevanshi@gmail.com</t>
  </si>
  <si>
    <t>Personal Connection</t>
  </si>
  <si>
    <t>rajesh@fbc.com.np</t>
  </si>
  <si>
    <t>rajjupaudel10@gmail.com</t>
  </si>
  <si>
    <t>ranjitashrestha010@gmail.com</t>
  </si>
  <si>
    <t>rasmeeshrestha10@gmail.com</t>
  </si>
  <si>
    <t>ravviekhyaju95@gmail.com</t>
  </si>
  <si>
    <t>rejinakarki743@gmail.com</t>
  </si>
  <si>
    <t>rohinee@smartphones4water.org</t>
  </si>
  <si>
    <t>crozzina134@gmail.com</t>
  </si>
  <si>
    <t>Sabina tamang</t>
  </si>
  <si>
    <t>sadhanaadhikari83@gmail.com</t>
  </si>
  <si>
    <t>sagargosai175@gmail.com</t>
  </si>
  <si>
    <t>samjhanathapa2056@gmail.com</t>
  </si>
  <si>
    <t>Samzanatimalsina324@gmail.com</t>
  </si>
  <si>
    <t>sangarsha@smartphones4water.org</t>
  </si>
  <si>
    <t>sargamthulu1918@gmail.com</t>
  </si>
  <si>
    <t>katwalsarika2@gmail.com</t>
  </si>
  <si>
    <t>Sejal Maharjan</t>
  </si>
  <si>
    <t>shejalmaharjan@gmail.com</t>
  </si>
  <si>
    <t>neupanesumit95@gmail.com</t>
  </si>
  <si>
    <t>crenashrestha@gmail.com</t>
  </si>
  <si>
    <t>sudeepduwal@gmail.com</t>
  </si>
  <si>
    <t xml:space="preserve">bhandarisulu22@gmail.com	</t>
  </si>
  <si>
    <t>prajapatisuraj7116@gmail.com</t>
  </si>
  <si>
    <t>upendrabogati64@gmail.com</t>
  </si>
  <si>
    <t>bidhyarai83@gmail.com</t>
  </si>
  <si>
    <t xml:space="preserve">Yogesh Poudel </t>
  </si>
  <si>
    <t>yogeshpunk@gmail.com</t>
  </si>
  <si>
    <t>This is an example of our year wise database for precipitation</t>
  </si>
  <si>
    <t>Each year we organize Monsoon Expedetion from May to September, which is the period in which we receive nearly 80% of annual rainfall.</t>
  </si>
  <si>
    <t>The preparation of this database is semi-automated (manual entry for meausrement comments)</t>
  </si>
  <si>
    <t>The daily rainfall data (24 hr) in mm collecetd by each citizen scientust is entered for each day from May 1 to the end of September (In the year , the monsoon lasted till early October)</t>
  </si>
  <si>
    <t>The CS_Information sheet contains the details of all the citizen scientists along with their location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</si>
</sst>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"/>
    <numFmt numFmtId="165" formatCode="0.0000000"/>
  </numFmts>
  <fonts count="10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&quot;Google Sans&quot;"/>
    </font>
    <font>
      <b/>
      <sz val="10"/>
      <color theme="1"/>
      <name val="Arial"/>
    </font>
    <font>
      <sz val="10"/>
      <color theme="1"/>
      <name val="Arial"/>
    </font>
    <font>
      <sz val="11"/>
      <color rgb="FF222222"/>
      <name val="Google Sans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3" fillId="3" borderId="0" xfId="0" applyFont="1" applyFill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right"/>
    </xf>
    <xf numFmtId="0" fontId="4" fillId="0" borderId="0" xfId="0" applyFont="1"/>
    <xf numFmtId="165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/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9" fillId="0" borderId="0" xfId="0" applyFont="1"/>
    <xf numFmtId="0" fontId="2" fillId="0" borderId="5" xfId="0" applyFont="1" applyBorder="1"/>
    <xf numFmtId="0" fontId="2" fillId="0" borderId="6" xfId="0" applyFont="1" applyBorder="1"/>
    <xf numFmtId="0" fontId="3" fillId="0" borderId="4" xfId="0" applyFont="1" applyBorder="1"/>
    <xf numFmtId="0" fontId="3" fillId="0" borderId="0" xfId="0" applyFont="1"/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hinee Bishwas" id="{295C6BE7-4B41-422C-82BC-DB863F407B82}" userId="" providerId="google-sheets"/>
  <person displayName="Sadhana Adhikari" id="{17BEE2B2-E582-4A18-808B-FA2D446D4D1E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K42" dT="2025-08-29T05:41:52.00" personId="{295C6BE7-4B41-422C-82BC-DB863F407B82}" id="{67489940-CF4E-4A89-87E2-AE2558B2FE4A}">
    <text>45 meausrements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9" dT="2025-05-26T06:42:27.00" personId="{17BEE2B2-E582-4A18-808B-FA2D446D4D1E}" id="{C418ABD0-73B2-4810-9191-5195B76521E2}" done="1">
    <text>need to send certificate</text>
  </threadedComment>
  <threadedComment ref="A32" dT="2025-05-26T06:50:14.00" personId="{17BEE2B2-E582-4A18-808B-FA2D446D4D1E}" id="{F6CCFC8A-8EE2-477D-B8EC-886DE9E8A982}" done="1">
    <text>need new gauge</text>
  </threadedComment>
  <threadedComment ref="A33" dT="2025-07-03T06:06:14.00" personId="{17BEE2B2-E582-4A18-808B-FA2D446D4D1E}" id="{69761046-3F00-4E75-99A1-9D36BCE5E367}">
    <text>need new gauge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5AF2-6BD1-45FB-AE67-B1EB2395DD8B}">
  <dimension ref="A1:A5"/>
  <sheetViews>
    <sheetView tabSelected="1" workbookViewId="0">
      <selection activeCell="F22" sqref="F22"/>
    </sheetView>
  </sheetViews>
  <sheetFormatPr defaultRowHeight="12.45"/>
  <sheetData>
    <row r="1" spans="1:1">
      <c r="A1" t="s">
        <v>184</v>
      </c>
    </row>
    <row r="2" spans="1:1">
      <c r="A2" t="s">
        <v>185</v>
      </c>
    </row>
    <row r="3" spans="1:1">
      <c r="A3" t="s">
        <v>186</v>
      </c>
    </row>
    <row r="4" spans="1:1">
      <c r="A4" t="s">
        <v>187</v>
      </c>
    </row>
    <row r="5" spans="1:1">
      <c r="A5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K1022"/>
  <sheetViews>
    <sheetView workbookViewId="0">
      <pane xSplit="3" ySplit="1" topLeftCell="FE2" activePane="bottomRight" state="frozen"/>
      <selection pane="topRight" activeCell="D1" sqref="D1"/>
      <selection pane="bottomLeft" activeCell="A2" sqref="A2"/>
      <selection pane="bottomRight" activeCell="FD12" sqref="FD12"/>
    </sheetView>
  </sheetViews>
  <sheetFormatPr defaultColWidth="12.69140625" defaultRowHeight="15.75" customHeight="1"/>
  <cols>
    <col min="1" max="1" width="31.69140625" customWidth="1"/>
    <col min="2" max="2" width="16.23046875" customWidth="1"/>
    <col min="3" max="3" width="18.4609375" customWidth="1"/>
  </cols>
  <sheetData>
    <row r="1" spans="1:167" ht="14.6">
      <c r="A1" s="6" t="s">
        <v>0</v>
      </c>
      <c r="B1" s="7" t="s">
        <v>1</v>
      </c>
      <c r="C1" s="7" t="s">
        <v>2</v>
      </c>
      <c r="D1" s="8">
        <v>45778</v>
      </c>
      <c r="E1" s="8">
        <v>45779</v>
      </c>
      <c r="F1" s="8">
        <v>45780</v>
      </c>
      <c r="G1" s="8">
        <v>45781</v>
      </c>
      <c r="H1" s="8">
        <v>45782</v>
      </c>
      <c r="I1" s="8">
        <v>45783</v>
      </c>
      <c r="J1" s="8">
        <v>45784</v>
      </c>
      <c r="K1" s="8">
        <v>45785</v>
      </c>
      <c r="L1" s="8">
        <v>45786</v>
      </c>
      <c r="M1" s="8">
        <v>45787</v>
      </c>
      <c r="N1" s="8">
        <v>45788</v>
      </c>
      <c r="O1" s="8">
        <v>45789</v>
      </c>
      <c r="P1" s="8">
        <v>45790</v>
      </c>
      <c r="Q1" s="8">
        <v>45791</v>
      </c>
      <c r="R1" s="8">
        <v>45792</v>
      </c>
      <c r="S1" s="8">
        <v>45793</v>
      </c>
      <c r="T1" s="8">
        <v>45794</v>
      </c>
      <c r="U1" s="8">
        <v>45795</v>
      </c>
      <c r="V1" s="8">
        <v>45796</v>
      </c>
      <c r="W1" s="8">
        <v>45797</v>
      </c>
      <c r="X1" s="8">
        <v>45798</v>
      </c>
      <c r="Y1" s="8">
        <v>45799</v>
      </c>
      <c r="Z1" s="8">
        <v>45800</v>
      </c>
      <c r="AA1" s="8">
        <v>45801</v>
      </c>
      <c r="AB1" s="8">
        <v>45802</v>
      </c>
      <c r="AC1" s="8">
        <v>45803</v>
      </c>
      <c r="AD1" s="8">
        <v>45804</v>
      </c>
      <c r="AE1" s="8">
        <v>45805</v>
      </c>
      <c r="AF1" s="8">
        <v>45806</v>
      </c>
      <c r="AG1" s="8">
        <v>45807</v>
      </c>
      <c r="AH1" s="8">
        <v>45808</v>
      </c>
      <c r="AI1" s="8">
        <v>45809</v>
      </c>
      <c r="AJ1" s="8">
        <v>45810</v>
      </c>
      <c r="AK1" s="8">
        <v>45811</v>
      </c>
      <c r="AL1" s="8">
        <v>45812</v>
      </c>
      <c r="AM1" s="8">
        <v>45813</v>
      </c>
      <c r="AN1" s="8">
        <v>45814</v>
      </c>
      <c r="AO1" s="8">
        <v>45815</v>
      </c>
      <c r="AP1" s="8">
        <v>45816</v>
      </c>
      <c r="AQ1" s="8">
        <v>45817</v>
      </c>
      <c r="AR1" s="8">
        <v>45818</v>
      </c>
      <c r="AS1" s="8">
        <v>45819</v>
      </c>
      <c r="AT1" s="8">
        <v>45820</v>
      </c>
      <c r="AU1" s="8">
        <v>45821</v>
      </c>
      <c r="AV1" s="8">
        <v>45822</v>
      </c>
      <c r="AW1" s="8">
        <v>45823</v>
      </c>
      <c r="AX1" s="8">
        <v>45824</v>
      </c>
      <c r="AY1" s="8">
        <v>45825</v>
      </c>
      <c r="AZ1" s="8">
        <v>45826</v>
      </c>
      <c r="BA1" s="8">
        <v>45827</v>
      </c>
      <c r="BB1" s="8">
        <v>45828</v>
      </c>
      <c r="BC1" s="8">
        <v>45829</v>
      </c>
      <c r="BD1" s="8">
        <v>45830</v>
      </c>
      <c r="BE1" s="8">
        <v>45831</v>
      </c>
      <c r="BF1" s="8">
        <v>45832</v>
      </c>
      <c r="BG1" s="8">
        <v>45833</v>
      </c>
      <c r="BH1" s="8">
        <v>45834</v>
      </c>
      <c r="BI1" s="8">
        <v>45835</v>
      </c>
      <c r="BJ1" s="8">
        <v>45836</v>
      </c>
      <c r="BK1" s="8">
        <v>45837</v>
      </c>
      <c r="BL1" s="8">
        <v>45838</v>
      </c>
      <c r="BM1" s="8">
        <v>45839</v>
      </c>
      <c r="BN1" s="8">
        <v>45840</v>
      </c>
      <c r="BO1" s="8">
        <v>45841</v>
      </c>
      <c r="BP1" s="8">
        <v>45842</v>
      </c>
      <c r="BQ1" s="8">
        <v>45843</v>
      </c>
      <c r="BR1" s="8">
        <v>45844</v>
      </c>
      <c r="BS1" s="8">
        <v>45845</v>
      </c>
      <c r="BT1" s="8">
        <v>45846</v>
      </c>
      <c r="BU1" s="8">
        <v>45847</v>
      </c>
      <c r="BV1" s="8">
        <v>45848</v>
      </c>
      <c r="BW1" s="8">
        <v>45849</v>
      </c>
      <c r="BX1" s="8">
        <v>45850</v>
      </c>
      <c r="BY1" s="8">
        <v>45851</v>
      </c>
      <c r="BZ1" s="8">
        <v>45852</v>
      </c>
      <c r="CA1" s="8">
        <v>45853</v>
      </c>
      <c r="CB1" s="8">
        <v>45854</v>
      </c>
      <c r="CC1" s="8">
        <v>45855</v>
      </c>
      <c r="CD1" s="8">
        <v>45856</v>
      </c>
      <c r="CE1" s="8">
        <v>45857</v>
      </c>
      <c r="CF1" s="8">
        <v>45858</v>
      </c>
      <c r="CG1" s="8">
        <v>45859</v>
      </c>
      <c r="CH1" s="8">
        <v>45860</v>
      </c>
      <c r="CI1" s="8">
        <v>45861</v>
      </c>
      <c r="CJ1" s="8">
        <v>45862</v>
      </c>
      <c r="CK1" s="8">
        <v>45863</v>
      </c>
      <c r="CL1" s="8">
        <v>45864</v>
      </c>
      <c r="CM1" s="8">
        <v>45865</v>
      </c>
      <c r="CN1" s="8">
        <v>45866</v>
      </c>
      <c r="CO1" s="8">
        <v>45867</v>
      </c>
      <c r="CP1" s="8">
        <v>45868</v>
      </c>
      <c r="CQ1" s="8">
        <v>45869</v>
      </c>
      <c r="CR1" s="8">
        <v>45870</v>
      </c>
      <c r="CS1" s="8">
        <v>45871</v>
      </c>
      <c r="CT1" s="8">
        <v>45872</v>
      </c>
      <c r="CU1" s="8">
        <v>45873</v>
      </c>
      <c r="CV1" s="8">
        <v>45874</v>
      </c>
      <c r="CW1" s="8">
        <v>45875</v>
      </c>
      <c r="CX1" s="8">
        <v>45876</v>
      </c>
      <c r="CY1" s="8">
        <v>45877</v>
      </c>
      <c r="CZ1" s="8">
        <v>45878</v>
      </c>
      <c r="DA1" s="8">
        <v>45879</v>
      </c>
      <c r="DB1" s="8">
        <v>45880</v>
      </c>
      <c r="DC1" s="8">
        <v>45881</v>
      </c>
      <c r="DD1" s="8">
        <v>45882</v>
      </c>
      <c r="DE1" s="8">
        <v>45883</v>
      </c>
      <c r="DF1" s="8">
        <v>45884</v>
      </c>
      <c r="DG1" s="8">
        <v>45885</v>
      </c>
      <c r="DH1" s="8">
        <v>45886</v>
      </c>
      <c r="DI1" s="8">
        <v>45887</v>
      </c>
      <c r="DJ1" s="8">
        <v>45888</v>
      </c>
      <c r="DK1" s="8">
        <v>45889</v>
      </c>
      <c r="DL1" s="8">
        <v>45890</v>
      </c>
      <c r="DM1" s="8">
        <v>45891</v>
      </c>
      <c r="DN1" s="8">
        <v>45892</v>
      </c>
      <c r="DO1" s="8">
        <v>45893</v>
      </c>
      <c r="DP1" s="8">
        <v>45894</v>
      </c>
      <c r="DQ1" s="8">
        <v>45895</v>
      </c>
      <c r="DR1" s="8">
        <v>45896</v>
      </c>
      <c r="DS1" s="8">
        <v>45897</v>
      </c>
      <c r="DT1" s="8">
        <v>45898</v>
      </c>
      <c r="DU1" s="8">
        <v>45899</v>
      </c>
      <c r="DV1" s="8">
        <v>45900</v>
      </c>
      <c r="DW1" s="8">
        <v>45901</v>
      </c>
      <c r="DX1" s="8">
        <v>45902</v>
      </c>
      <c r="DY1" s="8">
        <v>45903</v>
      </c>
      <c r="DZ1" s="8">
        <v>45904</v>
      </c>
      <c r="EA1" s="8">
        <v>45905</v>
      </c>
      <c r="EB1" s="8">
        <v>45906</v>
      </c>
      <c r="EC1" s="8">
        <v>45907</v>
      </c>
      <c r="ED1" s="8">
        <v>45908</v>
      </c>
      <c r="EE1" s="8">
        <v>45909</v>
      </c>
      <c r="EF1" s="8">
        <v>45910</v>
      </c>
      <c r="EG1" s="8">
        <v>45911</v>
      </c>
      <c r="EH1" s="8">
        <v>45912</v>
      </c>
      <c r="EI1" s="8">
        <v>45913</v>
      </c>
      <c r="EJ1" s="8">
        <v>45914</v>
      </c>
      <c r="EK1" s="8">
        <v>45915</v>
      </c>
      <c r="EL1" s="8">
        <v>45916</v>
      </c>
      <c r="EM1" s="8">
        <v>45917</v>
      </c>
      <c r="EN1" s="8">
        <v>45918</v>
      </c>
      <c r="EO1" s="8">
        <v>45919</v>
      </c>
      <c r="EP1" s="8">
        <v>45920</v>
      </c>
      <c r="EQ1" s="8">
        <v>45921</v>
      </c>
      <c r="ER1" s="8">
        <v>45922</v>
      </c>
      <c r="ES1" s="8">
        <v>45923</v>
      </c>
      <c r="ET1" s="8">
        <v>45924</v>
      </c>
      <c r="EU1" s="8">
        <v>45925</v>
      </c>
      <c r="EV1" s="8">
        <v>45926</v>
      </c>
      <c r="EW1" s="8">
        <v>45927</v>
      </c>
      <c r="EX1" s="8">
        <v>45928</v>
      </c>
      <c r="EY1" s="8">
        <v>45929</v>
      </c>
      <c r="EZ1" s="8">
        <v>45930</v>
      </c>
      <c r="FA1" s="8">
        <v>45931</v>
      </c>
      <c r="FB1" s="8">
        <v>45932</v>
      </c>
      <c r="FC1" s="8">
        <v>45933</v>
      </c>
      <c r="FD1" s="8">
        <v>45934</v>
      </c>
      <c r="FE1" s="8">
        <v>45935</v>
      </c>
      <c r="FF1" s="8">
        <v>45936</v>
      </c>
      <c r="FG1" s="8">
        <v>45937</v>
      </c>
      <c r="FH1" s="8">
        <v>45938</v>
      </c>
      <c r="FI1" s="8">
        <v>45939</v>
      </c>
      <c r="FJ1" s="8">
        <v>45940</v>
      </c>
      <c r="FK1" s="9" t="s">
        <v>3</v>
      </c>
    </row>
    <row r="2" spans="1:167" ht="15.75" customHeight="1">
      <c r="A2" s="3" t="s">
        <v>4</v>
      </c>
      <c r="B2" s="10">
        <v>27.6873869</v>
      </c>
      <c r="C2" s="10">
        <v>85.430338599999999</v>
      </c>
      <c r="D2" s="2"/>
      <c r="E2" s="2">
        <v>8</v>
      </c>
      <c r="F2" s="2">
        <v>3</v>
      </c>
      <c r="G2" s="2"/>
      <c r="H2" s="2"/>
      <c r="I2" s="2">
        <v>32</v>
      </c>
      <c r="J2" s="2"/>
      <c r="K2" s="2">
        <v>6</v>
      </c>
      <c r="L2" s="2"/>
      <c r="M2" s="2"/>
      <c r="N2" s="2"/>
      <c r="O2" s="2"/>
      <c r="P2" s="2"/>
      <c r="Q2" s="2"/>
      <c r="R2" s="2"/>
      <c r="S2" s="2"/>
      <c r="T2" s="2"/>
      <c r="U2" s="2">
        <v>14</v>
      </c>
      <c r="V2" s="2"/>
      <c r="W2" s="2">
        <v>16</v>
      </c>
      <c r="X2" s="2">
        <v>6</v>
      </c>
      <c r="Y2" s="2"/>
      <c r="Z2" s="2"/>
      <c r="AA2" s="2">
        <v>27</v>
      </c>
      <c r="AB2" s="2">
        <v>1</v>
      </c>
      <c r="AC2" s="2">
        <v>0</v>
      </c>
      <c r="AD2" s="2"/>
      <c r="AE2" s="2"/>
      <c r="AF2" s="2"/>
      <c r="AG2" s="2"/>
      <c r="AH2" s="2">
        <v>10</v>
      </c>
      <c r="AI2" s="2"/>
      <c r="AJ2" s="2"/>
      <c r="AK2" s="2"/>
      <c r="AL2" s="2">
        <v>0</v>
      </c>
      <c r="AM2" s="2">
        <v>5</v>
      </c>
      <c r="AN2" s="2"/>
      <c r="AO2" s="2">
        <v>0</v>
      </c>
      <c r="AP2" s="2"/>
      <c r="AQ2" s="2"/>
      <c r="AR2" s="2"/>
      <c r="AS2" s="2"/>
      <c r="AT2" s="2">
        <v>35</v>
      </c>
      <c r="AU2" s="2">
        <v>8</v>
      </c>
      <c r="AV2" s="2"/>
      <c r="AW2" s="2">
        <v>41</v>
      </c>
      <c r="AX2" s="2">
        <v>17</v>
      </c>
      <c r="AY2" s="2">
        <v>19</v>
      </c>
      <c r="AZ2" s="2"/>
      <c r="BA2" s="2"/>
      <c r="BB2" s="2">
        <v>53</v>
      </c>
      <c r="BC2" s="4">
        <v>38</v>
      </c>
      <c r="BD2" s="11"/>
      <c r="BE2" s="4">
        <v>27</v>
      </c>
      <c r="BF2" s="4">
        <v>25</v>
      </c>
      <c r="BG2" s="11"/>
      <c r="BH2" s="11">
        <v>41</v>
      </c>
      <c r="BI2" s="11"/>
      <c r="BJ2" s="11">
        <v>11</v>
      </c>
      <c r="BK2" s="11"/>
      <c r="BL2" s="4">
        <v>13</v>
      </c>
      <c r="BM2" s="4">
        <v>5</v>
      </c>
      <c r="BN2" s="2">
        <v>8</v>
      </c>
      <c r="BO2" s="2"/>
      <c r="BP2" s="2">
        <v>1</v>
      </c>
      <c r="BQ2" s="2">
        <v>11</v>
      </c>
      <c r="BR2" s="2"/>
      <c r="BS2" s="2"/>
      <c r="BT2" s="2">
        <v>8</v>
      </c>
      <c r="BU2" s="2">
        <v>35</v>
      </c>
      <c r="BV2" s="2"/>
      <c r="BW2" s="2"/>
      <c r="BX2" s="2"/>
      <c r="BY2" s="2"/>
      <c r="BZ2" s="2">
        <v>70</v>
      </c>
      <c r="CA2" s="2"/>
      <c r="CB2" s="2"/>
      <c r="CC2" s="2"/>
      <c r="CD2" s="2">
        <v>13</v>
      </c>
      <c r="CE2" s="2"/>
      <c r="CF2" s="2"/>
      <c r="CG2" s="2">
        <v>4</v>
      </c>
      <c r="CH2" s="2">
        <v>7</v>
      </c>
      <c r="CI2" s="2"/>
      <c r="CJ2" s="2"/>
      <c r="CK2" s="2"/>
      <c r="CL2" s="2"/>
      <c r="CM2" s="2"/>
      <c r="CN2" s="2"/>
      <c r="CO2" s="10">
        <v>33</v>
      </c>
      <c r="CP2" s="3"/>
      <c r="CQ2" s="3">
        <v>19</v>
      </c>
      <c r="CR2" s="2">
        <v>17</v>
      </c>
      <c r="CS2" s="2"/>
      <c r="CT2" s="2">
        <v>63</v>
      </c>
      <c r="CU2" s="2"/>
      <c r="CV2" s="2"/>
      <c r="CW2" s="2">
        <v>42</v>
      </c>
      <c r="CX2" s="2"/>
      <c r="CY2" s="2"/>
      <c r="CZ2" s="2"/>
      <c r="DA2" s="2">
        <v>26</v>
      </c>
      <c r="DB2" s="2">
        <v>7</v>
      </c>
      <c r="DC2" s="2">
        <v>1</v>
      </c>
      <c r="DD2" s="2"/>
      <c r="DE2" s="2">
        <v>6</v>
      </c>
      <c r="DF2" s="2">
        <v>2</v>
      </c>
      <c r="DG2" s="2"/>
      <c r="DH2" s="2"/>
      <c r="DI2" s="2"/>
      <c r="DJ2" s="2"/>
      <c r="DK2" s="2">
        <v>56</v>
      </c>
      <c r="DL2" s="2"/>
      <c r="DM2" s="2">
        <v>79</v>
      </c>
      <c r="DN2" s="2"/>
      <c r="DO2" s="2">
        <v>25</v>
      </c>
      <c r="DP2" s="2"/>
      <c r="DQ2" s="2"/>
      <c r="DR2" s="2"/>
      <c r="DS2" s="2"/>
      <c r="DT2" s="2">
        <v>49</v>
      </c>
      <c r="DU2" s="2">
        <v>9</v>
      </c>
      <c r="DV2" s="2"/>
      <c r="DW2" s="2">
        <v>32</v>
      </c>
      <c r="DX2" s="2"/>
      <c r="DY2" s="2"/>
      <c r="DZ2" s="2">
        <v>4</v>
      </c>
      <c r="EA2" s="2"/>
      <c r="EB2" s="2"/>
      <c r="EC2" s="2"/>
      <c r="ED2" s="2">
        <v>47</v>
      </c>
      <c r="EE2" s="2"/>
      <c r="EF2" s="2"/>
      <c r="EG2" s="2"/>
      <c r="EH2" s="2">
        <v>24</v>
      </c>
      <c r="EI2" s="2"/>
      <c r="EJ2" s="2"/>
      <c r="EK2" s="2"/>
      <c r="EL2" s="2">
        <v>14</v>
      </c>
      <c r="EM2" s="2">
        <v>6</v>
      </c>
      <c r="EN2" s="2">
        <v>15</v>
      </c>
      <c r="EO2" s="2">
        <v>1</v>
      </c>
      <c r="EP2" s="2">
        <v>0</v>
      </c>
      <c r="EQ2" s="2"/>
      <c r="ER2" s="2">
        <v>14</v>
      </c>
      <c r="ES2" s="2"/>
      <c r="ET2" s="2">
        <v>6</v>
      </c>
      <c r="EU2" s="2">
        <v>34</v>
      </c>
      <c r="EV2" s="2"/>
      <c r="EW2" s="2">
        <v>12</v>
      </c>
      <c r="EX2" s="2">
        <v>22</v>
      </c>
      <c r="EY2" s="2">
        <v>68</v>
      </c>
      <c r="EZ2" s="2">
        <v>5</v>
      </c>
      <c r="FA2" s="2">
        <v>2</v>
      </c>
      <c r="FB2" s="2">
        <v>20</v>
      </c>
      <c r="FC2" s="2"/>
      <c r="FD2" s="2"/>
      <c r="FE2" s="2">
        <v>132</v>
      </c>
      <c r="FF2" s="2"/>
      <c r="FG2" s="2"/>
      <c r="FH2" s="2"/>
      <c r="FI2" s="2"/>
      <c r="FJ2" s="2"/>
      <c r="FK2" s="2">
        <f t="shared" ref="FK2:FK5" si="0">COUNT(D2:FI2)</f>
        <v>70</v>
      </c>
    </row>
    <row r="3" spans="1:167" ht="15.75" customHeight="1">
      <c r="A3" s="2" t="s">
        <v>5</v>
      </c>
      <c r="B3" s="12">
        <v>27.724736304058101</v>
      </c>
      <c r="C3" s="13">
        <v>85.332627198336795</v>
      </c>
      <c r="E3" s="2"/>
      <c r="F3" s="2"/>
      <c r="I3" s="2"/>
      <c r="K3" s="2"/>
      <c r="U3" s="2"/>
      <c r="W3" s="2"/>
      <c r="X3" s="2"/>
      <c r="Z3" s="2">
        <v>23</v>
      </c>
      <c r="AA3" s="2">
        <v>1</v>
      </c>
      <c r="AB3" s="2">
        <v>5</v>
      </c>
      <c r="AC3" s="2">
        <v>1</v>
      </c>
      <c r="AD3" s="2">
        <v>0</v>
      </c>
      <c r="AE3" s="2">
        <v>70</v>
      </c>
      <c r="AF3" s="2">
        <v>3</v>
      </c>
      <c r="AG3" s="2">
        <v>0</v>
      </c>
      <c r="AH3" s="2">
        <v>1</v>
      </c>
      <c r="AI3" s="2">
        <v>0</v>
      </c>
      <c r="AJ3" s="2">
        <v>0</v>
      </c>
      <c r="AK3" s="2">
        <v>1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23</v>
      </c>
      <c r="AS3" s="2">
        <v>4</v>
      </c>
      <c r="AT3" s="2">
        <v>3</v>
      </c>
      <c r="AU3" s="2">
        <v>8</v>
      </c>
      <c r="AV3" s="2">
        <v>20</v>
      </c>
      <c r="AW3" s="2">
        <v>3</v>
      </c>
      <c r="AX3" s="2">
        <v>19</v>
      </c>
      <c r="AY3" s="2">
        <v>2</v>
      </c>
      <c r="AZ3" s="2">
        <v>11</v>
      </c>
      <c r="BA3" s="2">
        <v>32</v>
      </c>
      <c r="BB3" s="2">
        <v>44</v>
      </c>
      <c r="BC3" s="11">
        <v>0</v>
      </c>
      <c r="BD3" s="11">
        <v>36</v>
      </c>
      <c r="BE3" s="11">
        <v>16</v>
      </c>
      <c r="BF3" s="11">
        <v>16</v>
      </c>
      <c r="BG3" s="11">
        <v>18</v>
      </c>
      <c r="BH3" s="11">
        <v>45</v>
      </c>
      <c r="BI3" s="11">
        <v>6</v>
      </c>
      <c r="BJ3" s="11">
        <v>5</v>
      </c>
      <c r="BK3" s="11">
        <v>36</v>
      </c>
      <c r="BL3" s="11">
        <v>19</v>
      </c>
      <c r="BM3" s="11">
        <v>9</v>
      </c>
      <c r="BN3" s="2">
        <v>0</v>
      </c>
      <c r="BO3" s="2">
        <v>6</v>
      </c>
      <c r="BP3" s="2">
        <v>19</v>
      </c>
      <c r="BQ3" s="2">
        <v>0</v>
      </c>
      <c r="BR3" s="2">
        <v>28</v>
      </c>
      <c r="BS3" s="2">
        <v>0</v>
      </c>
      <c r="BT3" s="2">
        <v>43</v>
      </c>
      <c r="BU3" s="2">
        <v>10</v>
      </c>
      <c r="BV3" s="2">
        <v>14</v>
      </c>
      <c r="BW3" s="2">
        <v>18</v>
      </c>
      <c r="BX3" s="2">
        <v>2</v>
      </c>
      <c r="BY3" s="2">
        <v>20</v>
      </c>
      <c r="BZ3" s="2">
        <v>7</v>
      </c>
      <c r="CA3" s="2">
        <v>6</v>
      </c>
      <c r="CB3" s="2">
        <v>0</v>
      </c>
      <c r="CC3" s="2">
        <v>0</v>
      </c>
      <c r="CD3" s="2">
        <v>0</v>
      </c>
      <c r="CE3" s="2">
        <v>5</v>
      </c>
      <c r="CF3" s="2">
        <v>0</v>
      </c>
      <c r="CG3" s="2">
        <v>63</v>
      </c>
      <c r="CH3" s="2">
        <v>0</v>
      </c>
      <c r="CI3" s="2">
        <v>7</v>
      </c>
      <c r="CJ3" s="2">
        <v>0</v>
      </c>
      <c r="CK3" s="2">
        <v>0</v>
      </c>
      <c r="CL3" s="2">
        <v>1</v>
      </c>
      <c r="CM3" s="2">
        <v>99</v>
      </c>
      <c r="CN3" s="2">
        <v>5</v>
      </c>
      <c r="CO3" s="10">
        <v>9</v>
      </c>
      <c r="CP3" s="10">
        <v>4</v>
      </c>
      <c r="CQ3" s="3">
        <v>11</v>
      </c>
      <c r="CR3" s="2">
        <v>0</v>
      </c>
      <c r="CS3" s="2">
        <v>48</v>
      </c>
      <c r="CT3" s="2">
        <v>6</v>
      </c>
      <c r="CU3" s="2">
        <v>14</v>
      </c>
      <c r="CV3" s="2">
        <v>8</v>
      </c>
      <c r="CW3" s="2">
        <v>0</v>
      </c>
      <c r="CX3" s="2">
        <v>8</v>
      </c>
      <c r="CY3" s="2">
        <v>7</v>
      </c>
      <c r="CZ3" s="2">
        <v>4</v>
      </c>
      <c r="DA3" s="2">
        <v>4</v>
      </c>
      <c r="DB3" s="2">
        <v>0</v>
      </c>
      <c r="DC3" s="2">
        <v>2</v>
      </c>
      <c r="DD3" s="2">
        <v>2</v>
      </c>
      <c r="DE3" s="2">
        <v>26</v>
      </c>
      <c r="DF3" s="2">
        <v>0</v>
      </c>
      <c r="DG3" s="2">
        <v>1</v>
      </c>
      <c r="DH3" s="2">
        <v>10</v>
      </c>
      <c r="DI3" s="14">
        <v>14</v>
      </c>
      <c r="DJ3" s="14">
        <v>6</v>
      </c>
      <c r="DK3" s="14">
        <v>2</v>
      </c>
      <c r="DL3" s="14">
        <v>0</v>
      </c>
      <c r="DM3" s="14">
        <v>31</v>
      </c>
      <c r="DN3" s="14">
        <v>31</v>
      </c>
      <c r="DO3" s="10">
        <v>0</v>
      </c>
      <c r="DP3" s="2">
        <v>0</v>
      </c>
      <c r="DQ3" s="2">
        <v>0</v>
      </c>
      <c r="DR3" s="2">
        <v>0</v>
      </c>
      <c r="DS3" s="2">
        <v>34</v>
      </c>
      <c r="DT3" s="2">
        <v>17</v>
      </c>
      <c r="DU3" s="2">
        <v>19</v>
      </c>
      <c r="DV3" s="2">
        <v>10</v>
      </c>
      <c r="DW3" s="2">
        <v>1</v>
      </c>
      <c r="DX3" s="2">
        <v>0</v>
      </c>
      <c r="DY3" s="2">
        <v>0</v>
      </c>
      <c r="DZ3" s="2">
        <v>3</v>
      </c>
      <c r="EA3" s="2">
        <v>0</v>
      </c>
      <c r="EB3" s="2">
        <v>23</v>
      </c>
      <c r="EC3" s="2">
        <v>14</v>
      </c>
      <c r="ED3" s="14">
        <v>2</v>
      </c>
      <c r="EE3" s="14">
        <v>2</v>
      </c>
      <c r="EF3" s="14">
        <v>1</v>
      </c>
      <c r="EG3" s="14">
        <v>16</v>
      </c>
      <c r="EH3" s="2">
        <v>1</v>
      </c>
      <c r="EI3" s="2">
        <v>10</v>
      </c>
      <c r="EJ3" s="2">
        <v>0</v>
      </c>
      <c r="EK3" s="2">
        <v>12</v>
      </c>
      <c r="EL3" s="2">
        <v>7</v>
      </c>
      <c r="EM3" s="2">
        <v>11</v>
      </c>
      <c r="EN3" s="2">
        <v>39</v>
      </c>
      <c r="EO3" s="2">
        <v>4</v>
      </c>
      <c r="EP3" s="2">
        <v>1</v>
      </c>
      <c r="EQ3" s="2">
        <v>6</v>
      </c>
      <c r="ER3" s="2">
        <v>0</v>
      </c>
      <c r="ES3" s="2">
        <v>3</v>
      </c>
      <c r="ET3" s="2">
        <v>0</v>
      </c>
      <c r="EU3" s="2">
        <v>32</v>
      </c>
      <c r="EV3" s="2">
        <v>0</v>
      </c>
      <c r="EW3" s="2">
        <v>3</v>
      </c>
      <c r="EX3" s="2">
        <v>0</v>
      </c>
      <c r="EY3" s="2">
        <v>10</v>
      </c>
      <c r="EZ3" s="2">
        <v>2</v>
      </c>
      <c r="FA3" s="2">
        <v>5</v>
      </c>
      <c r="FB3" s="2">
        <v>21</v>
      </c>
      <c r="FC3" s="2">
        <v>1</v>
      </c>
      <c r="FD3" s="2">
        <v>25</v>
      </c>
      <c r="FE3" s="2">
        <v>89</v>
      </c>
      <c r="FK3" s="2">
        <f t="shared" si="0"/>
        <v>136</v>
      </c>
    </row>
    <row r="4" spans="1:167" ht="15.75" customHeight="1">
      <c r="A4" s="3" t="s">
        <v>6</v>
      </c>
      <c r="B4" s="10">
        <v>27.677389300000002</v>
      </c>
      <c r="C4" s="10">
        <v>85.379717999999997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>
        <v>16</v>
      </c>
      <c r="AY4" s="2">
        <v>39</v>
      </c>
      <c r="AZ4" s="2"/>
      <c r="BA4" s="2"/>
      <c r="BB4" s="2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>
        <v>7</v>
      </c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3"/>
      <c r="CP4" s="3"/>
      <c r="CQ4" s="3">
        <v>2</v>
      </c>
      <c r="CR4" s="2">
        <v>9</v>
      </c>
      <c r="CS4" s="2">
        <v>0</v>
      </c>
      <c r="CT4" s="2">
        <v>42</v>
      </c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>
        <f t="shared" si="0"/>
        <v>7</v>
      </c>
    </row>
    <row r="5" spans="1:167" ht="15.75" customHeight="1">
      <c r="A5" s="3" t="s">
        <v>7</v>
      </c>
      <c r="B5" s="2">
        <v>27.6689905</v>
      </c>
      <c r="C5" s="2">
        <v>85.330231499999996</v>
      </c>
      <c r="E5" s="2"/>
      <c r="F5" s="2"/>
      <c r="I5" s="2"/>
      <c r="K5" s="2"/>
      <c r="W5" s="2"/>
      <c r="X5" s="2"/>
      <c r="AA5" s="2"/>
      <c r="AB5" s="2"/>
      <c r="AC5" s="2"/>
      <c r="AE5" s="2">
        <v>0</v>
      </c>
      <c r="AG5" s="2">
        <v>5.9</v>
      </c>
      <c r="AH5" s="2">
        <v>1.6</v>
      </c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CO5" s="3"/>
      <c r="CP5" s="3"/>
      <c r="CQ5" s="3"/>
      <c r="FK5" s="2">
        <f t="shared" si="0"/>
        <v>3</v>
      </c>
    </row>
    <row r="6" spans="1:167" ht="15.75" customHeight="1">
      <c r="A6" s="3" t="s">
        <v>8</v>
      </c>
      <c r="B6" s="10">
        <v>27.662303300000001</v>
      </c>
      <c r="C6" s="10">
        <v>85.426978000000005</v>
      </c>
      <c r="D6" s="2">
        <v>3</v>
      </c>
      <c r="E6" s="2">
        <v>4</v>
      </c>
      <c r="F6" s="2">
        <v>10.4</v>
      </c>
      <c r="G6" s="2">
        <v>17</v>
      </c>
      <c r="H6" s="2">
        <v>0.2</v>
      </c>
      <c r="I6" s="2">
        <v>0.6</v>
      </c>
      <c r="J6" s="2">
        <v>1.9</v>
      </c>
      <c r="K6" s="2">
        <v>0</v>
      </c>
      <c r="L6" s="2">
        <v>0</v>
      </c>
      <c r="M6" s="2"/>
      <c r="N6" s="2"/>
      <c r="O6" s="2"/>
      <c r="P6" s="2"/>
      <c r="Q6" s="2"/>
      <c r="R6" s="2"/>
      <c r="S6" s="2">
        <v>5.8</v>
      </c>
      <c r="T6" s="2">
        <v>20.2</v>
      </c>
      <c r="U6" s="2">
        <v>12.6</v>
      </c>
      <c r="V6" s="2">
        <v>1.9</v>
      </c>
      <c r="W6" s="2">
        <v>15</v>
      </c>
      <c r="X6" s="2">
        <v>3.1</v>
      </c>
      <c r="Y6" s="2">
        <v>6.6</v>
      </c>
      <c r="Z6" s="2">
        <v>1.1000000000000001</v>
      </c>
      <c r="AA6" s="2">
        <v>3.6</v>
      </c>
      <c r="AB6" s="2">
        <v>0</v>
      </c>
      <c r="AC6" s="2">
        <v>1.2</v>
      </c>
      <c r="AD6" s="2">
        <v>0</v>
      </c>
      <c r="AE6" s="2">
        <v>0</v>
      </c>
      <c r="AF6" s="2">
        <v>7.2</v>
      </c>
      <c r="AG6" s="2">
        <v>7.1</v>
      </c>
      <c r="AH6" s="2">
        <v>0</v>
      </c>
      <c r="AI6" s="2">
        <v>1.6</v>
      </c>
      <c r="AJ6" s="2">
        <v>0</v>
      </c>
      <c r="AK6" s="2">
        <v>0</v>
      </c>
      <c r="AL6" s="2">
        <v>2.4</v>
      </c>
      <c r="AM6" s="2">
        <v>17.5</v>
      </c>
      <c r="AN6" s="2">
        <v>2.4</v>
      </c>
      <c r="AO6" s="2"/>
      <c r="AP6" s="2">
        <v>0</v>
      </c>
      <c r="AQ6" s="2">
        <v>0</v>
      </c>
      <c r="AR6" s="2">
        <v>0</v>
      </c>
      <c r="AS6" s="2">
        <v>1.2</v>
      </c>
      <c r="AT6" s="2">
        <v>48</v>
      </c>
      <c r="AU6" s="2">
        <v>24.6</v>
      </c>
      <c r="AV6" s="2">
        <v>16.399999999999999</v>
      </c>
      <c r="AW6" s="2">
        <v>0</v>
      </c>
      <c r="AX6" s="2">
        <v>11.2</v>
      </c>
      <c r="AY6" s="2">
        <v>20</v>
      </c>
      <c r="AZ6" s="2">
        <v>0</v>
      </c>
      <c r="BA6" s="2">
        <v>2.4</v>
      </c>
      <c r="BB6" s="2">
        <v>40.200000000000003</v>
      </c>
      <c r="BC6" s="4">
        <v>41.8</v>
      </c>
      <c r="BD6" s="4">
        <v>0.8</v>
      </c>
      <c r="BE6" s="4">
        <v>8.5</v>
      </c>
      <c r="BF6" s="4">
        <v>5.8</v>
      </c>
      <c r="BG6" s="11">
        <v>22.2</v>
      </c>
      <c r="BH6" s="11">
        <v>15.6</v>
      </c>
      <c r="BI6" s="11">
        <v>1.6</v>
      </c>
      <c r="BJ6" s="4">
        <v>2.1</v>
      </c>
      <c r="BK6" s="4">
        <v>6.6</v>
      </c>
      <c r="BL6" s="4">
        <v>14.8</v>
      </c>
      <c r="BM6" s="4">
        <v>5.2</v>
      </c>
      <c r="BN6" s="2">
        <v>9.1999999999999993</v>
      </c>
      <c r="BO6" s="2">
        <v>2.6</v>
      </c>
      <c r="BP6" s="2">
        <v>1.2</v>
      </c>
      <c r="BQ6" s="2">
        <v>12</v>
      </c>
      <c r="BR6" s="2">
        <v>0</v>
      </c>
      <c r="BS6" s="2">
        <v>8.8000000000000007</v>
      </c>
      <c r="BT6" s="2">
        <v>0</v>
      </c>
      <c r="BU6" s="2">
        <v>35.4</v>
      </c>
      <c r="BV6" s="2">
        <v>13</v>
      </c>
      <c r="BW6" s="2">
        <v>40.6</v>
      </c>
      <c r="BX6" s="2">
        <v>0</v>
      </c>
      <c r="BY6" s="2">
        <v>0</v>
      </c>
      <c r="BZ6" s="2">
        <v>8.6</v>
      </c>
      <c r="CA6" s="2">
        <v>7.5</v>
      </c>
      <c r="CB6" s="2">
        <v>4.2</v>
      </c>
      <c r="CC6" s="2">
        <v>0</v>
      </c>
      <c r="CD6" s="2">
        <v>8.1999999999999993</v>
      </c>
      <c r="CE6" s="2">
        <v>0</v>
      </c>
      <c r="CF6" s="2">
        <v>4</v>
      </c>
      <c r="CG6" s="2">
        <v>0</v>
      </c>
      <c r="CH6" s="2">
        <v>10.199999999999999</v>
      </c>
      <c r="CI6" s="2">
        <v>1</v>
      </c>
      <c r="CJ6" s="2">
        <v>0</v>
      </c>
      <c r="CK6" s="2">
        <v>0</v>
      </c>
      <c r="CL6" s="2">
        <v>1.8</v>
      </c>
      <c r="CM6" s="2">
        <v>0</v>
      </c>
      <c r="CN6" s="2">
        <v>28.6</v>
      </c>
      <c r="CO6" s="10">
        <v>8</v>
      </c>
      <c r="CP6" s="10">
        <v>2.6</v>
      </c>
      <c r="CQ6" s="10">
        <v>1.5</v>
      </c>
      <c r="CR6" s="2">
        <v>6.6</v>
      </c>
      <c r="CS6" s="2">
        <v>1.6</v>
      </c>
      <c r="CT6" s="2">
        <v>71.8</v>
      </c>
      <c r="CU6" s="2">
        <v>0.2</v>
      </c>
      <c r="CV6" s="2">
        <v>23</v>
      </c>
      <c r="CW6" s="2">
        <v>21.2</v>
      </c>
      <c r="CX6" s="2">
        <v>0</v>
      </c>
      <c r="CY6" s="2">
        <v>12.6</v>
      </c>
      <c r="CZ6" s="2">
        <v>1.2</v>
      </c>
      <c r="DA6" s="2">
        <v>0</v>
      </c>
      <c r="DB6" s="2">
        <v>1.2</v>
      </c>
      <c r="DC6" s="2">
        <v>0.8</v>
      </c>
      <c r="DD6" s="2">
        <v>2.6</v>
      </c>
      <c r="DE6" s="2">
        <v>1.6</v>
      </c>
      <c r="DF6" s="2">
        <v>5</v>
      </c>
      <c r="DG6" s="2">
        <v>6.2</v>
      </c>
      <c r="DH6" s="2">
        <v>13.8</v>
      </c>
      <c r="DI6" s="2">
        <v>6.5</v>
      </c>
      <c r="DJ6" s="2">
        <v>14.8</v>
      </c>
      <c r="DK6" s="2">
        <v>0</v>
      </c>
      <c r="DL6" s="2">
        <v>0.2</v>
      </c>
      <c r="DM6" s="2">
        <v>65</v>
      </c>
      <c r="DN6" s="2">
        <v>36.4</v>
      </c>
      <c r="DO6" s="2">
        <v>1.2</v>
      </c>
      <c r="DP6" s="2">
        <v>0</v>
      </c>
      <c r="DQ6" s="2">
        <v>0</v>
      </c>
      <c r="DR6" s="2">
        <v>0</v>
      </c>
      <c r="DS6" s="2">
        <v>79</v>
      </c>
      <c r="DT6" s="2">
        <v>8.1999999999999993</v>
      </c>
      <c r="DU6" s="2">
        <v>2.8</v>
      </c>
      <c r="DV6" s="2">
        <v>27.2</v>
      </c>
      <c r="DW6" s="2">
        <v>6.2</v>
      </c>
      <c r="DX6" s="2">
        <v>0</v>
      </c>
      <c r="DY6" s="2">
        <v>0</v>
      </c>
      <c r="DZ6" s="2">
        <v>0</v>
      </c>
      <c r="EA6" s="2">
        <v>0</v>
      </c>
      <c r="EB6" s="2">
        <v>5.5</v>
      </c>
      <c r="EC6" s="2">
        <v>34.6</v>
      </c>
      <c r="ED6" s="2">
        <v>4.2</v>
      </c>
      <c r="EE6" s="2">
        <v>0</v>
      </c>
      <c r="EF6" s="2">
        <v>0</v>
      </c>
      <c r="EG6" s="2">
        <v>4.5999999999999996</v>
      </c>
      <c r="EH6" s="2">
        <v>2.2000000000000002</v>
      </c>
      <c r="EI6" s="2">
        <v>4</v>
      </c>
      <c r="EJ6" s="2">
        <v>0</v>
      </c>
      <c r="EK6" s="2">
        <v>5.8</v>
      </c>
      <c r="EL6" s="2">
        <v>5.2</v>
      </c>
      <c r="EM6" s="2">
        <v>16.600000000000001</v>
      </c>
      <c r="EN6" s="2">
        <v>10.5</v>
      </c>
      <c r="EO6" s="2">
        <v>0.4</v>
      </c>
      <c r="EP6" s="2">
        <v>2</v>
      </c>
      <c r="EQ6" s="2">
        <v>2.2000000000000002</v>
      </c>
      <c r="ER6" s="2">
        <v>0</v>
      </c>
      <c r="ES6" s="2">
        <v>20.2</v>
      </c>
      <c r="ET6" s="2">
        <v>0</v>
      </c>
      <c r="EU6" s="2">
        <v>59.4</v>
      </c>
      <c r="EV6" s="2">
        <v>0</v>
      </c>
      <c r="EW6" s="2">
        <v>26.8</v>
      </c>
      <c r="EX6" s="2">
        <v>0</v>
      </c>
      <c r="EY6" s="2">
        <v>16.600000000000001</v>
      </c>
      <c r="EZ6" s="2">
        <v>0.4</v>
      </c>
      <c r="FA6" s="2">
        <v>1.7</v>
      </c>
      <c r="FB6" s="2">
        <v>12.6</v>
      </c>
      <c r="FC6" s="2">
        <v>1.6</v>
      </c>
      <c r="FD6" s="2">
        <v>25.6</v>
      </c>
      <c r="FE6" s="2">
        <v>119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f>COUNT(D6:FJ6)</f>
        <v>156</v>
      </c>
    </row>
    <row r="7" spans="1:167" ht="15.75" customHeight="1">
      <c r="A7" s="3" t="s">
        <v>9</v>
      </c>
      <c r="B7" s="10">
        <v>27.667024999999999</v>
      </c>
      <c r="C7" s="10">
        <v>85.433134699999997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>
        <v>14</v>
      </c>
      <c r="X7" s="2">
        <v>3</v>
      </c>
      <c r="Y7" s="2">
        <v>5</v>
      </c>
      <c r="Z7" s="2">
        <v>1</v>
      </c>
      <c r="AA7" s="2">
        <v>3</v>
      </c>
      <c r="AB7" s="2">
        <v>0</v>
      </c>
      <c r="AC7" s="2">
        <v>3</v>
      </c>
      <c r="AD7" s="2"/>
      <c r="AE7" s="2">
        <v>0</v>
      </c>
      <c r="AF7" s="2">
        <v>2</v>
      </c>
      <c r="AG7" s="2">
        <v>8</v>
      </c>
      <c r="AH7" s="2">
        <v>0</v>
      </c>
      <c r="AI7" s="2">
        <v>2</v>
      </c>
      <c r="AJ7" s="2">
        <v>0</v>
      </c>
      <c r="AK7" s="2">
        <v>0</v>
      </c>
      <c r="AL7" s="2">
        <v>2</v>
      </c>
      <c r="AM7" s="2">
        <v>22</v>
      </c>
      <c r="AN7" s="2">
        <v>2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53</v>
      </c>
      <c r="AU7" s="2">
        <v>17</v>
      </c>
      <c r="AV7" s="2">
        <v>23</v>
      </c>
      <c r="AW7" s="2">
        <v>6</v>
      </c>
      <c r="AX7" s="2">
        <v>6</v>
      </c>
      <c r="AY7" s="2">
        <v>23</v>
      </c>
      <c r="AZ7" s="2">
        <v>0</v>
      </c>
      <c r="BA7" s="2">
        <v>5</v>
      </c>
      <c r="BB7" s="2">
        <v>47</v>
      </c>
      <c r="BC7" s="4">
        <v>43</v>
      </c>
      <c r="BD7" s="4">
        <v>3</v>
      </c>
      <c r="BE7" s="4">
        <v>13</v>
      </c>
      <c r="BF7" s="4">
        <v>47</v>
      </c>
      <c r="BG7" s="11">
        <v>21</v>
      </c>
      <c r="BH7" s="11">
        <v>18</v>
      </c>
      <c r="BI7" s="11">
        <v>6</v>
      </c>
      <c r="BJ7" s="11">
        <v>4</v>
      </c>
      <c r="BK7" s="11">
        <v>12</v>
      </c>
      <c r="BL7" s="4">
        <v>19</v>
      </c>
      <c r="BM7" s="4">
        <v>10</v>
      </c>
      <c r="BN7" s="2">
        <v>11</v>
      </c>
      <c r="BO7" s="2">
        <v>0</v>
      </c>
      <c r="BP7" s="2">
        <v>2</v>
      </c>
      <c r="BQ7" s="2">
        <v>7</v>
      </c>
      <c r="BR7" s="2">
        <v>0</v>
      </c>
      <c r="BS7" s="2">
        <v>15</v>
      </c>
      <c r="BT7" s="2">
        <v>0</v>
      </c>
      <c r="BU7" s="2">
        <v>35</v>
      </c>
      <c r="BV7" s="2">
        <v>14</v>
      </c>
      <c r="BW7" s="2">
        <v>31</v>
      </c>
      <c r="BX7" s="2">
        <v>0</v>
      </c>
      <c r="BY7" s="2">
        <v>0</v>
      </c>
      <c r="BZ7" s="2">
        <v>6</v>
      </c>
      <c r="CA7" s="2">
        <v>9</v>
      </c>
      <c r="CB7" s="2">
        <v>4</v>
      </c>
      <c r="CC7" s="2">
        <v>0</v>
      </c>
      <c r="CD7" s="2">
        <v>0</v>
      </c>
      <c r="CE7" s="2"/>
      <c r="CF7" s="2">
        <v>5</v>
      </c>
      <c r="CG7" s="2">
        <v>0</v>
      </c>
      <c r="CH7" s="2"/>
      <c r="CI7" s="2">
        <v>5</v>
      </c>
      <c r="CJ7" s="2">
        <v>0</v>
      </c>
      <c r="CK7" s="2"/>
      <c r="CL7" s="2"/>
      <c r="CM7" s="2"/>
      <c r="CN7" s="2"/>
      <c r="CO7" s="10">
        <v>31</v>
      </c>
      <c r="CP7" s="3"/>
      <c r="CQ7" s="3"/>
      <c r="CR7" s="2"/>
      <c r="CS7" s="2"/>
      <c r="CT7" s="2">
        <v>63</v>
      </c>
      <c r="CU7" s="2">
        <v>0</v>
      </c>
      <c r="CV7" s="2">
        <v>27</v>
      </c>
      <c r="CW7" s="2">
        <v>17</v>
      </c>
      <c r="CX7" s="2"/>
      <c r="CY7" s="2">
        <v>13</v>
      </c>
      <c r="CZ7" s="2"/>
      <c r="DA7" s="2"/>
      <c r="DB7" s="2"/>
      <c r="DC7" s="2">
        <v>6</v>
      </c>
      <c r="DD7" s="2">
        <v>5</v>
      </c>
      <c r="DE7" s="2">
        <v>4</v>
      </c>
      <c r="DF7" s="2">
        <v>5</v>
      </c>
      <c r="DG7" s="2">
        <v>14</v>
      </c>
      <c r="DH7" s="2">
        <v>8</v>
      </c>
      <c r="DI7" s="2">
        <v>10</v>
      </c>
      <c r="DJ7" s="2">
        <v>17</v>
      </c>
      <c r="DK7" s="2">
        <v>0</v>
      </c>
      <c r="DL7" s="2"/>
      <c r="DM7" s="2">
        <v>70</v>
      </c>
      <c r="DN7" s="2">
        <v>40</v>
      </c>
      <c r="DO7" s="2">
        <v>0</v>
      </c>
      <c r="DP7" s="2">
        <v>0</v>
      </c>
      <c r="DQ7" s="2"/>
      <c r="DR7" s="2"/>
      <c r="DS7" s="2">
        <v>57</v>
      </c>
      <c r="DT7" s="2">
        <v>11</v>
      </c>
      <c r="DU7" s="2">
        <v>4</v>
      </c>
      <c r="DV7" s="2">
        <v>24</v>
      </c>
      <c r="DW7" s="2">
        <v>10</v>
      </c>
      <c r="DX7" s="2">
        <v>0</v>
      </c>
      <c r="DY7" s="2">
        <v>0</v>
      </c>
      <c r="DZ7" s="2">
        <v>0</v>
      </c>
      <c r="EA7" s="2">
        <v>0</v>
      </c>
      <c r="EB7" s="2">
        <v>13</v>
      </c>
      <c r="EC7" s="2">
        <v>25</v>
      </c>
      <c r="ED7" s="2">
        <v>12</v>
      </c>
      <c r="EE7" s="2"/>
      <c r="EF7" s="2">
        <v>0</v>
      </c>
      <c r="EG7" s="2">
        <v>7</v>
      </c>
      <c r="EH7" s="2">
        <v>4</v>
      </c>
      <c r="EI7" s="2"/>
      <c r="EJ7" s="2">
        <v>3</v>
      </c>
      <c r="EK7" s="2">
        <v>7</v>
      </c>
      <c r="EL7" s="2">
        <v>5</v>
      </c>
      <c r="EM7" s="2">
        <v>13</v>
      </c>
      <c r="EN7" s="2">
        <v>11</v>
      </c>
      <c r="EO7" s="2">
        <v>0</v>
      </c>
      <c r="EP7" s="2"/>
      <c r="EQ7" s="2">
        <v>5</v>
      </c>
      <c r="ER7" s="2">
        <v>0</v>
      </c>
      <c r="ES7" s="2">
        <v>21</v>
      </c>
      <c r="ET7" s="2">
        <v>0</v>
      </c>
      <c r="EU7" s="2">
        <v>61</v>
      </c>
      <c r="EV7" s="2"/>
      <c r="EW7" s="2">
        <v>30</v>
      </c>
      <c r="EX7" s="2">
        <v>0</v>
      </c>
      <c r="EY7" s="2">
        <v>28</v>
      </c>
      <c r="EZ7" s="2">
        <v>0</v>
      </c>
      <c r="FA7" s="2"/>
      <c r="FB7" s="2">
        <v>13</v>
      </c>
      <c r="FC7" s="2"/>
      <c r="FD7" s="2">
        <v>87</v>
      </c>
      <c r="FE7" s="2">
        <v>50</v>
      </c>
      <c r="FF7" s="2">
        <v>0</v>
      </c>
      <c r="FG7" s="2">
        <v>0</v>
      </c>
      <c r="FH7" s="2">
        <v>0</v>
      </c>
      <c r="FI7" s="2">
        <v>0</v>
      </c>
      <c r="FJ7" s="2"/>
      <c r="FK7" s="2">
        <f t="shared" ref="FK7:FK14" si="1">COUNT(D7:FI7)</f>
        <v>119</v>
      </c>
    </row>
    <row r="8" spans="1:167" ht="15.75" customHeight="1">
      <c r="A8" s="3" t="s">
        <v>10</v>
      </c>
      <c r="B8" s="2">
        <v>27.670301899999998</v>
      </c>
      <c r="C8" s="2">
        <v>85.425538399999994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>
        <v>36</v>
      </c>
      <c r="BC8" s="4">
        <v>37</v>
      </c>
      <c r="BD8" s="11"/>
      <c r="BE8" s="11"/>
      <c r="BF8" s="4">
        <v>27</v>
      </c>
      <c r="BG8" s="11"/>
      <c r="BH8" s="11"/>
      <c r="BI8" s="11"/>
      <c r="BJ8" s="11"/>
      <c r="BK8" s="11"/>
      <c r="BL8" s="11"/>
      <c r="BM8" s="11"/>
      <c r="BN8" s="2"/>
      <c r="BO8" s="2"/>
      <c r="BP8" s="2"/>
      <c r="BQ8" s="2"/>
      <c r="BR8" s="2"/>
      <c r="BS8" s="2">
        <v>12</v>
      </c>
      <c r="BT8" s="2">
        <v>0</v>
      </c>
      <c r="BU8" s="2">
        <v>36</v>
      </c>
      <c r="BV8" s="2"/>
      <c r="BW8" s="2">
        <v>52</v>
      </c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3"/>
      <c r="CP8" s="3"/>
      <c r="CQ8" s="3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>
        <f t="shared" si="1"/>
        <v>7</v>
      </c>
    </row>
    <row r="9" spans="1:167" ht="15.75" customHeight="1">
      <c r="A9" s="3" t="s">
        <v>11</v>
      </c>
      <c r="B9" s="2">
        <v>27.6909204</v>
      </c>
      <c r="C9" s="2">
        <v>85.287060100000005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4">
        <v>0</v>
      </c>
      <c r="AP9" s="2">
        <v>11</v>
      </c>
      <c r="AQ9" s="2">
        <v>14</v>
      </c>
      <c r="AR9" s="2">
        <v>3</v>
      </c>
      <c r="AS9" s="2">
        <v>6</v>
      </c>
      <c r="AT9" s="2">
        <v>5</v>
      </c>
      <c r="AU9" s="2">
        <v>0</v>
      </c>
      <c r="AV9" s="2">
        <v>20</v>
      </c>
      <c r="AW9" s="2">
        <v>0</v>
      </c>
      <c r="AX9" s="2">
        <v>10</v>
      </c>
      <c r="AY9" s="2">
        <v>0</v>
      </c>
      <c r="AZ9" s="2">
        <v>37</v>
      </c>
      <c r="BA9" s="2">
        <v>5</v>
      </c>
      <c r="BB9" s="2">
        <v>0</v>
      </c>
      <c r="BC9" s="4">
        <v>5</v>
      </c>
      <c r="BD9" s="11">
        <v>10</v>
      </c>
      <c r="BE9" s="11">
        <v>27</v>
      </c>
      <c r="BF9" s="4">
        <v>5</v>
      </c>
      <c r="BG9" s="11">
        <v>14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6</v>
      </c>
      <c r="BN9" s="2">
        <v>0</v>
      </c>
      <c r="BO9" s="2">
        <v>0</v>
      </c>
      <c r="BP9" s="2">
        <v>0</v>
      </c>
      <c r="BQ9" s="2">
        <v>8</v>
      </c>
      <c r="BR9" s="2">
        <v>0</v>
      </c>
      <c r="BS9" s="2">
        <v>28</v>
      </c>
      <c r="BT9" s="2">
        <v>7</v>
      </c>
      <c r="BU9" s="2"/>
      <c r="BW9" s="2"/>
      <c r="CO9" s="3"/>
      <c r="CP9" s="3"/>
      <c r="CQ9" s="3"/>
      <c r="CW9" s="2">
        <v>5</v>
      </c>
      <c r="CX9" s="2">
        <v>0</v>
      </c>
      <c r="CY9" s="30">
        <v>15</v>
      </c>
      <c r="CZ9" s="31"/>
      <c r="DA9" s="2">
        <v>0</v>
      </c>
      <c r="DB9" s="2">
        <v>3</v>
      </c>
      <c r="DC9" s="2">
        <v>0</v>
      </c>
      <c r="DD9" s="2">
        <v>5</v>
      </c>
      <c r="DE9" s="2">
        <v>11</v>
      </c>
      <c r="DF9" s="2">
        <v>0</v>
      </c>
      <c r="DG9" s="2">
        <v>0</v>
      </c>
      <c r="DH9" s="2">
        <v>10</v>
      </c>
      <c r="DI9" s="2">
        <v>5</v>
      </c>
      <c r="DJ9" s="2">
        <v>27</v>
      </c>
      <c r="DL9" s="2">
        <v>0</v>
      </c>
      <c r="DM9" s="2">
        <v>35</v>
      </c>
      <c r="DN9" s="2">
        <v>31</v>
      </c>
      <c r="DO9" s="2">
        <v>0</v>
      </c>
      <c r="DP9" s="2">
        <v>0</v>
      </c>
      <c r="DQ9" s="2">
        <v>0</v>
      </c>
      <c r="DR9" s="2">
        <v>0</v>
      </c>
      <c r="DS9" s="2">
        <v>6</v>
      </c>
      <c r="DT9" s="2">
        <v>5</v>
      </c>
      <c r="DU9" s="2">
        <v>2</v>
      </c>
      <c r="DV9" s="2">
        <v>2</v>
      </c>
      <c r="DX9" s="2">
        <v>0</v>
      </c>
      <c r="DY9" s="2">
        <v>0</v>
      </c>
      <c r="DZ9" s="2">
        <v>0</v>
      </c>
      <c r="EA9" s="2">
        <v>0</v>
      </c>
      <c r="EB9" s="2">
        <v>4</v>
      </c>
      <c r="EC9" s="2">
        <v>0</v>
      </c>
      <c r="ED9" s="2">
        <v>0</v>
      </c>
      <c r="EE9" s="2">
        <v>0</v>
      </c>
      <c r="EF9" s="2">
        <v>0</v>
      </c>
      <c r="EG9" s="2">
        <v>3</v>
      </c>
      <c r="EH9" s="2">
        <v>0</v>
      </c>
      <c r="EI9" s="2">
        <v>3</v>
      </c>
      <c r="EJ9" s="2">
        <v>0</v>
      </c>
      <c r="EK9" s="2">
        <v>31</v>
      </c>
      <c r="EL9" s="2">
        <v>18</v>
      </c>
      <c r="EM9" s="14">
        <v>24</v>
      </c>
      <c r="EN9" s="2">
        <v>6</v>
      </c>
      <c r="EO9" s="2">
        <v>0</v>
      </c>
      <c r="EP9" s="2">
        <v>0</v>
      </c>
      <c r="EQ9" s="2">
        <v>0</v>
      </c>
      <c r="ER9" s="2">
        <v>0</v>
      </c>
      <c r="FK9" s="2">
        <f t="shared" si="1"/>
        <v>77</v>
      </c>
    </row>
    <row r="10" spans="1:167" ht="15.75" customHeight="1">
      <c r="A10" s="3" t="s">
        <v>12</v>
      </c>
      <c r="B10" s="10">
        <v>27.703215100000001</v>
      </c>
      <c r="C10" s="10">
        <v>85.327513800000006</v>
      </c>
      <c r="S10" s="2">
        <v>0</v>
      </c>
      <c r="W10" s="2">
        <v>20</v>
      </c>
      <c r="X10" s="2">
        <v>3</v>
      </c>
      <c r="AC10" s="2">
        <v>4</v>
      </c>
      <c r="AE10" s="2">
        <v>0</v>
      </c>
      <c r="AF10" s="2">
        <v>18</v>
      </c>
      <c r="AH10" s="2">
        <v>3</v>
      </c>
      <c r="AK10" s="2">
        <v>0</v>
      </c>
      <c r="AL10" s="2">
        <v>1</v>
      </c>
      <c r="AM10" s="2">
        <v>1</v>
      </c>
      <c r="AN10" s="2">
        <v>0</v>
      </c>
      <c r="AQ10" s="2">
        <v>0</v>
      </c>
      <c r="AR10" s="2">
        <v>0</v>
      </c>
      <c r="AS10" s="2">
        <v>0</v>
      </c>
      <c r="AT10" s="2">
        <v>0</v>
      </c>
      <c r="AY10" s="2">
        <v>36</v>
      </c>
      <c r="AZ10" s="2">
        <v>0</v>
      </c>
      <c r="BB10" s="2">
        <v>24</v>
      </c>
      <c r="BC10" s="4">
        <v>37</v>
      </c>
      <c r="BD10" s="11"/>
      <c r="BE10" s="4">
        <v>47</v>
      </c>
      <c r="BF10" s="4">
        <v>17</v>
      </c>
      <c r="BG10" s="11">
        <v>18</v>
      </c>
      <c r="BH10" s="11">
        <v>22</v>
      </c>
      <c r="BI10" s="11">
        <v>55</v>
      </c>
      <c r="BJ10" s="11">
        <v>15</v>
      </c>
      <c r="BK10" s="4">
        <v>7</v>
      </c>
      <c r="BL10" s="4">
        <v>20</v>
      </c>
      <c r="BM10" s="11">
        <v>13</v>
      </c>
      <c r="BN10" s="2">
        <v>14</v>
      </c>
      <c r="BO10" s="2">
        <v>12</v>
      </c>
      <c r="BU10" s="2">
        <v>25</v>
      </c>
      <c r="BV10" s="2">
        <v>10</v>
      </c>
      <c r="BW10" s="2">
        <v>45</v>
      </c>
      <c r="CC10" s="2">
        <v>8</v>
      </c>
      <c r="CD10" s="2">
        <v>0</v>
      </c>
      <c r="CN10" s="2">
        <v>75</v>
      </c>
      <c r="CO10" s="3"/>
      <c r="CP10" s="3">
        <v>0</v>
      </c>
      <c r="CQ10" s="3"/>
      <c r="CR10" s="2">
        <v>0</v>
      </c>
      <c r="CS10" s="2">
        <v>0</v>
      </c>
      <c r="CT10" s="2">
        <v>19</v>
      </c>
      <c r="EM10" s="14"/>
      <c r="FK10" s="2">
        <f t="shared" si="1"/>
        <v>40</v>
      </c>
    </row>
    <row r="11" spans="1:167" ht="15.75" customHeight="1">
      <c r="A11" s="3" t="s">
        <v>13</v>
      </c>
      <c r="B11" s="2">
        <v>27.671638699999999</v>
      </c>
      <c r="C11" s="2">
        <v>85.281409100000005</v>
      </c>
      <c r="S11" s="2"/>
      <c r="W11" s="2"/>
      <c r="X11" s="2"/>
      <c r="AC11" s="2"/>
      <c r="AE11" s="2"/>
      <c r="AF11" s="2"/>
      <c r="AH11" s="2">
        <v>11</v>
      </c>
      <c r="AI11" s="2">
        <v>0</v>
      </c>
      <c r="AJ11" s="2">
        <v>0</v>
      </c>
      <c r="AK11" s="2">
        <v>0</v>
      </c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CO11" s="3"/>
      <c r="CP11" s="3"/>
      <c r="CQ11" s="3"/>
      <c r="EM11" s="14"/>
      <c r="FK11" s="2">
        <f t="shared" si="1"/>
        <v>4</v>
      </c>
    </row>
    <row r="12" spans="1:167" ht="15.75" customHeight="1">
      <c r="A12" s="3" t="s">
        <v>14</v>
      </c>
      <c r="B12" s="10">
        <v>27.675395099999999</v>
      </c>
      <c r="C12" s="10">
        <v>85.388905399999999</v>
      </c>
      <c r="D12" s="2">
        <v>6</v>
      </c>
      <c r="E12" s="2">
        <v>0</v>
      </c>
      <c r="F12" s="2"/>
      <c r="G12" s="2">
        <v>20</v>
      </c>
      <c r="H12" s="2">
        <v>0</v>
      </c>
      <c r="I12" s="2">
        <v>4</v>
      </c>
      <c r="J12" s="2">
        <v>5</v>
      </c>
      <c r="K12" s="2"/>
      <c r="L12" s="2"/>
      <c r="M12" s="2"/>
      <c r="N12" s="2"/>
      <c r="O12" s="2"/>
      <c r="P12" s="2"/>
      <c r="Q12" s="2"/>
      <c r="R12" s="2"/>
      <c r="S12" s="2">
        <v>5</v>
      </c>
      <c r="T12" s="2"/>
      <c r="U12" s="2"/>
      <c r="V12" s="2">
        <v>28</v>
      </c>
      <c r="W12" s="2">
        <v>16</v>
      </c>
      <c r="X12" s="2"/>
      <c r="Y12" s="2">
        <v>7</v>
      </c>
      <c r="Z12" s="2">
        <v>0</v>
      </c>
      <c r="AA12" s="2">
        <v>27</v>
      </c>
      <c r="AB12" s="2"/>
      <c r="AC12" s="2">
        <v>13</v>
      </c>
      <c r="AD12" s="2">
        <v>0</v>
      </c>
      <c r="AE12" s="2"/>
      <c r="AF12" s="2">
        <v>24</v>
      </c>
      <c r="AG12" s="2">
        <v>12</v>
      </c>
      <c r="AH12" s="2"/>
      <c r="AI12" s="2"/>
      <c r="AJ12" s="2"/>
      <c r="AK12" s="2"/>
      <c r="AL12" s="2">
        <v>0</v>
      </c>
      <c r="AM12" s="2">
        <v>6</v>
      </c>
      <c r="AN12" s="2">
        <v>2</v>
      </c>
      <c r="AO12" s="2"/>
      <c r="AP12" s="2"/>
      <c r="AQ12" s="2"/>
      <c r="AR12" s="2"/>
      <c r="AS12" s="2">
        <v>1</v>
      </c>
      <c r="AT12" s="2">
        <v>12</v>
      </c>
      <c r="AU12" s="2">
        <v>3</v>
      </c>
      <c r="AV12" s="2">
        <v>14</v>
      </c>
      <c r="AW12" s="2">
        <v>12</v>
      </c>
      <c r="AX12" s="2">
        <v>8</v>
      </c>
      <c r="AY12" s="2">
        <v>32</v>
      </c>
      <c r="AZ12" s="2"/>
      <c r="BA12" s="2">
        <v>7</v>
      </c>
      <c r="BB12" s="2">
        <v>44</v>
      </c>
      <c r="BC12" s="4">
        <v>20</v>
      </c>
      <c r="BD12" s="4">
        <v>4</v>
      </c>
      <c r="BE12" s="4">
        <v>18</v>
      </c>
      <c r="BF12" s="4">
        <v>33</v>
      </c>
      <c r="BG12" s="11">
        <v>19</v>
      </c>
      <c r="BH12" s="11">
        <v>18</v>
      </c>
      <c r="BI12" s="11">
        <v>12</v>
      </c>
      <c r="BJ12" s="11">
        <v>5</v>
      </c>
      <c r="BK12" s="11"/>
      <c r="BL12" s="4">
        <v>20</v>
      </c>
      <c r="BM12" s="4">
        <v>4</v>
      </c>
      <c r="BN12" s="2">
        <v>11</v>
      </c>
      <c r="BO12" s="2">
        <v>5</v>
      </c>
      <c r="BP12" s="2">
        <v>4</v>
      </c>
      <c r="BQ12" s="2">
        <v>8</v>
      </c>
      <c r="BR12" s="2"/>
      <c r="BS12" s="2">
        <v>17</v>
      </c>
      <c r="BT12" s="2"/>
      <c r="BU12" s="2">
        <v>76</v>
      </c>
      <c r="BV12" s="2">
        <v>12</v>
      </c>
      <c r="BW12" s="2">
        <v>29</v>
      </c>
      <c r="BX12" s="2"/>
      <c r="BY12" s="2">
        <v>0</v>
      </c>
      <c r="BZ12" s="2">
        <v>15</v>
      </c>
      <c r="CA12" s="2">
        <v>6</v>
      </c>
      <c r="CB12" s="2">
        <v>5</v>
      </c>
      <c r="CC12" s="2">
        <v>0</v>
      </c>
      <c r="CD12" s="2"/>
      <c r="CE12" s="2">
        <v>0</v>
      </c>
      <c r="CF12" s="2"/>
      <c r="CG12" s="2">
        <v>6</v>
      </c>
      <c r="CH12" s="2">
        <v>22</v>
      </c>
      <c r="CI12" s="2">
        <v>0</v>
      </c>
      <c r="CJ12" s="2">
        <v>15</v>
      </c>
      <c r="CK12" s="2"/>
      <c r="CL12" s="2">
        <v>3</v>
      </c>
      <c r="CM12" s="2"/>
      <c r="CN12" s="2"/>
      <c r="CO12" s="3"/>
      <c r="CP12" s="3"/>
      <c r="CQ12" s="3"/>
      <c r="CR12" s="2"/>
      <c r="CS12" s="2"/>
      <c r="CT12" s="2">
        <v>57</v>
      </c>
      <c r="CU12" s="2">
        <v>2</v>
      </c>
      <c r="CV12" s="2">
        <v>27</v>
      </c>
      <c r="CW12" s="2">
        <v>14</v>
      </c>
      <c r="CX12" s="2">
        <v>0</v>
      </c>
      <c r="CY12" s="2">
        <v>9</v>
      </c>
      <c r="CZ12" s="2"/>
      <c r="DA12" s="2"/>
      <c r="DB12" s="2">
        <v>9</v>
      </c>
      <c r="DC12" s="2">
        <v>14</v>
      </c>
      <c r="DD12" s="2">
        <v>5</v>
      </c>
      <c r="DE12" s="2">
        <v>11</v>
      </c>
      <c r="DF12" s="2">
        <v>10</v>
      </c>
      <c r="DG12" s="2"/>
      <c r="DH12" s="2">
        <v>29</v>
      </c>
      <c r="DI12" s="2">
        <v>13</v>
      </c>
      <c r="DJ12" s="2"/>
      <c r="DK12" s="2">
        <v>0</v>
      </c>
      <c r="DL12" s="2">
        <v>0</v>
      </c>
      <c r="DM12" s="2">
        <v>79</v>
      </c>
      <c r="DN12" s="2">
        <v>18</v>
      </c>
      <c r="DO12" s="2"/>
      <c r="DP12" s="2"/>
      <c r="DQ12" s="2"/>
      <c r="DR12" s="2">
        <v>0</v>
      </c>
      <c r="DS12" s="2">
        <v>45</v>
      </c>
      <c r="DT12" s="2">
        <v>15</v>
      </c>
      <c r="DU12" s="2">
        <v>2</v>
      </c>
      <c r="DV12" s="2"/>
      <c r="DW12" s="2">
        <v>3</v>
      </c>
      <c r="DX12" s="2">
        <v>0</v>
      </c>
      <c r="DY12" s="2"/>
      <c r="DZ12" s="2"/>
      <c r="EA12" s="2"/>
      <c r="EB12" s="2"/>
      <c r="EC12" s="2"/>
      <c r="ED12" s="2"/>
      <c r="EE12" s="2"/>
      <c r="EF12" s="2">
        <v>8</v>
      </c>
      <c r="EG12" s="2"/>
      <c r="EH12" s="2"/>
      <c r="EI12" s="2"/>
      <c r="EJ12" s="2"/>
      <c r="EK12" s="2">
        <v>15</v>
      </c>
      <c r="EL12" s="2">
        <v>8</v>
      </c>
      <c r="EM12" s="14"/>
      <c r="EN12" s="2">
        <v>30</v>
      </c>
      <c r="EO12" s="2">
        <v>3</v>
      </c>
      <c r="EP12" s="2"/>
      <c r="EQ12" s="2"/>
      <c r="ER12" s="2"/>
      <c r="ES12" s="2">
        <v>6</v>
      </c>
      <c r="ET12" s="2">
        <v>0</v>
      </c>
      <c r="EU12" s="2">
        <v>26</v>
      </c>
      <c r="EV12" s="2">
        <v>0</v>
      </c>
      <c r="EW12" s="2">
        <v>16</v>
      </c>
      <c r="EX12" s="2"/>
      <c r="EY12" s="2">
        <v>20</v>
      </c>
      <c r="EZ12" s="2">
        <v>0</v>
      </c>
      <c r="FA12" s="2">
        <v>5</v>
      </c>
      <c r="FB12" s="2">
        <v>36</v>
      </c>
      <c r="FC12" s="2">
        <v>3</v>
      </c>
      <c r="FD12" s="2">
        <v>35</v>
      </c>
      <c r="FE12" s="2">
        <v>99</v>
      </c>
      <c r="FF12" s="2"/>
      <c r="FG12" s="2">
        <v>0</v>
      </c>
      <c r="FH12" s="2">
        <v>0</v>
      </c>
      <c r="FI12" s="2"/>
      <c r="FJ12" s="2"/>
      <c r="FK12" s="2">
        <f t="shared" si="1"/>
        <v>99</v>
      </c>
    </row>
    <row r="13" spans="1:167" ht="15.75" customHeight="1">
      <c r="A13" s="3" t="s">
        <v>15</v>
      </c>
      <c r="B13" s="10">
        <v>27.692985400000001</v>
      </c>
      <c r="C13" s="10">
        <v>85.278253399999997</v>
      </c>
      <c r="L13" s="2">
        <v>0</v>
      </c>
      <c r="N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17</v>
      </c>
      <c r="W13" s="2">
        <v>32</v>
      </c>
      <c r="X13" s="2">
        <v>6</v>
      </c>
      <c r="Y13" s="2">
        <v>6</v>
      </c>
      <c r="Z13" s="2">
        <v>10</v>
      </c>
      <c r="AC13" s="2">
        <v>17</v>
      </c>
      <c r="AE13" s="2">
        <v>0</v>
      </c>
      <c r="AI13" s="2">
        <v>37</v>
      </c>
      <c r="AK13" s="2">
        <v>0</v>
      </c>
      <c r="AM13" s="2">
        <v>8</v>
      </c>
      <c r="AN13" s="2">
        <v>0</v>
      </c>
      <c r="AO13" s="2">
        <v>0</v>
      </c>
      <c r="AQ13" s="2">
        <v>0</v>
      </c>
      <c r="AS13" s="2">
        <v>0</v>
      </c>
      <c r="AT13" s="2">
        <v>0</v>
      </c>
      <c r="AU13" s="2">
        <v>11</v>
      </c>
      <c r="AW13" s="2">
        <v>10</v>
      </c>
      <c r="AX13" s="2">
        <v>11</v>
      </c>
      <c r="AZ13" s="2">
        <v>8</v>
      </c>
      <c r="BB13" s="2">
        <v>22</v>
      </c>
      <c r="BC13" s="4">
        <v>35</v>
      </c>
      <c r="BD13" s="4">
        <v>11</v>
      </c>
      <c r="BE13" s="11"/>
      <c r="BF13" s="11">
        <v>42</v>
      </c>
      <c r="BG13" s="11"/>
      <c r="BH13" s="11">
        <v>11</v>
      </c>
      <c r="BI13" s="11">
        <v>19</v>
      </c>
      <c r="BJ13" s="11"/>
      <c r="BK13" s="11"/>
      <c r="BL13" s="11"/>
      <c r="BM13" s="11"/>
      <c r="BN13" s="2">
        <v>30</v>
      </c>
      <c r="BQ13" s="2">
        <v>65</v>
      </c>
      <c r="BR13" s="2">
        <v>1</v>
      </c>
      <c r="CO13" s="3"/>
      <c r="CP13" s="3"/>
      <c r="CQ13" s="3"/>
      <c r="FK13" s="2">
        <f t="shared" si="1"/>
        <v>35</v>
      </c>
    </row>
    <row r="14" spans="1:167" ht="15.75" customHeight="1">
      <c r="A14" s="3" t="s">
        <v>16</v>
      </c>
      <c r="B14" s="2">
        <v>27.671385000000001</v>
      </c>
      <c r="C14" s="2">
        <v>85.339139700000004</v>
      </c>
      <c r="L14" s="2"/>
      <c r="N14" s="2"/>
      <c r="P14" s="2"/>
      <c r="Q14" s="2"/>
      <c r="R14" s="2"/>
      <c r="S14" s="2"/>
      <c r="T14" s="2"/>
      <c r="U14" s="2"/>
      <c r="W14" s="2"/>
      <c r="X14" s="2"/>
      <c r="Y14" s="2"/>
      <c r="Z14" s="2"/>
      <c r="AC14" s="2"/>
      <c r="AE14" s="2"/>
      <c r="AI14" s="2"/>
      <c r="AK14" s="2"/>
      <c r="AM14" s="2"/>
      <c r="AN14" s="2"/>
      <c r="AO14" s="2"/>
      <c r="AQ14" s="2"/>
      <c r="AS14" s="2"/>
      <c r="AT14" s="2"/>
      <c r="AU14" s="2"/>
      <c r="AW14" s="2"/>
      <c r="AX14" s="2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R14" s="2">
        <v>5</v>
      </c>
      <c r="BU14" s="2">
        <v>49</v>
      </c>
      <c r="CI14" s="2">
        <v>9</v>
      </c>
      <c r="CO14" s="3"/>
      <c r="CP14" s="3"/>
      <c r="CQ14" s="3"/>
      <c r="FK14" s="2">
        <f t="shared" si="1"/>
        <v>3</v>
      </c>
    </row>
    <row r="15" spans="1:167" ht="15.75" customHeight="1">
      <c r="A15" s="3" t="s">
        <v>17</v>
      </c>
      <c r="B15" s="2">
        <v>27.742967499999999</v>
      </c>
      <c r="C15" s="2">
        <v>85.301180599999995</v>
      </c>
      <c r="L15" s="2"/>
      <c r="N15" s="2"/>
      <c r="P15" s="2"/>
      <c r="Q15" s="2"/>
      <c r="R15" s="2"/>
      <c r="S15" s="2"/>
      <c r="T15" s="2"/>
      <c r="U15" s="2"/>
      <c r="W15" s="2"/>
      <c r="X15" s="2"/>
      <c r="Y15" s="2"/>
      <c r="Z15" s="2"/>
      <c r="AC15" s="2">
        <v>0</v>
      </c>
      <c r="AD15" s="2">
        <v>0</v>
      </c>
      <c r="AE15" s="2">
        <v>0</v>
      </c>
      <c r="AF15" s="2">
        <v>55</v>
      </c>
      <c r="AG15" s="2">
        <v>6</v>
      </c>
      <c r="AH15" s="2">
        <v>3</v>
      </c>
      <c r="AI15" s="2">
        <v>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4</v>
      </c>
      <c r="AU15" s="2">
        <v>5</v>
      </c>
      <c r="AV15" s="2">
        <v>5</v>
      </c>
      <c r="AW15" s="2">
        <v>13</v>
      </c>
      <c r="AX15" s="2">
        <v>0</v>
      </c>
      <c r="AY15" s="2">
        <v>11</v>
      </c>
      <c r="AZ15" s="2">
        <v>0</v>
      </c>
      <c r="BB15" s="2">
        <v>20</v>
      </c>
      <c r="BC15" s="4">
        <v>39</v>
      </c>
      <c r="BD15" s="4">
        <v>3</v>
      </c>
      <c r="BE15" s="4">
        <v>28</v>
      </c>
      <c r="BF15" s="11">
        <v>22</v>
      </c>
      <c r="BG15" s="4">
        <v>15</v>
      </c>
      <c r="BH15" s="4">
        <v>14</v>
      </c>
      <c r="BI15" s="4">
        <v>57</v>
      </c>
      <c r="BJ15" s="4">
        <v>15</v>
      </c>
      <c r="BK15" s="4">
        <v>10</v>
      </c>
      <c r="BL15" s="4">
        <v>33</v>
      </c>
      <c r="BM15" s="4">
        <v>29</v>
      </c>
      <c r="BN15" s="2">
        <v>25</v>
      </c>
      <c r="BO15" s="2">
        <v>3</v>
      </c>
      <c r="BP15" s="2">
        <v>11</v>
      </c>
      <c r="BQ15" s="2">
        <v>45</v>
      </c>
      <c r="BR15" s="2">
        <v>0</v>
      </c>
      <c r="BS15" s="2">
        <v>47</v>
      </c>
      <c r="BT15" s="2">
        <v>0</v>
      </c>
      <c r="BU15" s="2">
        <v>37</v>
      </c>
      <c r="BV15" s="2">
        <v>6</v>
      </c>
      <c r="BW15" s="2">
        <v>40</v>
      </c>
      <c r="BX15" s="2">
        <v>8</v>
      </c>
      <c r="BY15" s="2">
        <v>0</v>
      </c>
      <c r="BZ15" s="2">
        <v>33</v>
      </c>
      <c r="CA15" s="2">
        <v>20</v>
      </c>
      <c r="CB15" s="2">
        <v>13</v>
      </c>
      <c r="CC15" s="2">
        <v>0</v>
      </c>
      <c r="CD15" s="2">
        <v>0</v>
      </c>
      <c r="CE15" s="2">
        <v>0</v>
      </c>
      <c r="CF15" s="2">
        <v>4</v>
      </c>
      <c r="CG15" s="2">
        <v>5</v>
      </c>
      <c r="CH15" s="2">
        <v>35</v>
      </c>
      <c r="CI15" s="2">
        <v>0</v>
      </c>
      <c r="CJ15" s="2">
        <v>0</v>
      </c>
      <c r="CK15" s="2">
        <v>5</v>
      </c>
      <c r="CL15" s="2">
        <v>7</v>
      </c>
      <c r="CM15" s="2">
        <v>8</v>
      </c>
      <c r="CN15" s="2">
        <v>69</v>
      </c>
      <c r="CO15" s="2">
        <v>7</v>
      </c>
      <c r="CP15" s="2">
        <v>14</v>
      </c>
      <c r="CQ15" s="2">
        <v>17</v>
      </c>
      <c r="CR15" s="2">
        <v>3</v>
      </c>
      <c r="CS15" s="2">
        <v>0</v>
      </c>
      <c r="CT15" s="2">
        <v>20</v>
      </c>
      <c r="CU15" s="2">
        <v>6</v>
      </c>
      <c r="CV15" s="2">
        <v>9</v>
      </c>
      <c r="CW15" s="2">
        <v>19</v>
      </c>
      <c r="CX15" s="2">
        <v>0</v>
      </c>
      <c r="CY15" s="2">
        <v>5</v>
      </c>
      <c r="CZ15" s="2">
        <v>9</v>
      </c>
      <c r="DA15" s="2">
        <v>11</v>
      </c>
      <c r="DB15" s="2">
        <v>5</v>
      </c>
      <c r="DC15" s="2">
        <v>3</v>
      </c>
      <c r="DD15" s="2">
        <v>4</v>
      </c>
      <c r="DE15" s="2">
        <v>27</v>
      </c>
      <c r="DF15" s="2">
        <v>7</v>
      </c>
      <c r="DG15" s="2">
        <v>33</v>
      </c>
      <c r="DH15" s="2">
        <v>9</v>
      </c>
      <c r="DI15" s="2">
        <v>12</v>
      </c>
      <c r="DJ15" s="2">
        <v>10</v>
      </c>
      <c r="DK15" s="2">
        <v>39</v>
      </c>
      <c r="DL15" s="2">
        <v>0</v>
      </c>
      <c r="DM15" s="2">
        <v>45</v>
      </c>
      <c r="DN15" s="2">
        <v>35</v>
      </c>
      <c r="DO15" s="2">
        <v>0</v>
      </c>
      <c r="DP15" s="2">
        <v>0</v>
      </c>
      <c r="DQ15" s="2">
        <v>0</v>
      </c>
      <c r="DR15" s="2">
        <v>9</v>
      </c>
      <c r="DS15" s="2">
        <v>64</v>
      </c>
      <c r="DT15" s="2">
        <v>34</v>
      </c>
      <c r="DU15" s="2">
        <v>19</v>
      </c>
      <c r="DV15" s="2">
        <v>39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46</v>
      </c>
      <c r="EV15" s="2">
        <v>0</v>
      </c>
      <c r="EW15" s="2">
        <v>20</v>
      </c>
      <c r="EX15" s="2">
        <v>0</v>
      </c>
      <c r="EY15" s="2">
        <v>0</v>
      </c>
      <c r="EZ15" s="2">
        <v>0</v>
      </c>
      <c r="FA15" s="2">
        <v>13</v>
      </c>
      <c r="FB15" s="2">
        <v>9</v>
      </c>
      <c r="FC15" s="2">
        <v>35</v>
      </c>
      <c r="FD15" s="2">
        <v>87</v>
      </c>
      <c r="FE15" s="2">
        <v>113</v>
      </c>
      <c r="FF15" s="2">
        <v>5</v>
      </c>
      <c r="FG15" s="2">
        <v>0</v>
      </c>
      <c r="FH15" s="2">
        <v>0</v>
      </c>
      <c r="FI15" s="2">
        <v>0</v>
      </c>
      <c r="FJ15" s="2">
        <v>0</v>
      </c>
      <c r="FK15" s="2">
        <f>COUNT(D15:FJ15)</f>
        <v>118</v>
      </c>
    </row>
    <row r="16" spans="1:167" ht="15.75" customHeight="1">
      <c r="A16" s="2" t="s">
        <v>18</v>
      </c>
      <c r="B16" s="10">
        <v>27.604471</v>
      </c>
      <c r="C16" s="10">
        <v>85.324104000000005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>
        <v>10.6</v>
      </c>
      <c r="AC16" s="2"/>
      <c r="AD16" s="2">
        <v>3</v>
      </c>
      <c r="AE16" s="2">
        <v>0</v>
      </c>
      <c r="AF16" s="2">
        <v>5</v>
      </c>
      <c r="AG16" s="2">
        <v>2</v>
      </c>
      <c r="AH16" s="2">
        <v>0</v>
      </c>
      <c r="AI16" s="2"/>
      <c r="AJ16" s="2"/>
      <c r="AK16" s="2">
        <v>0</v>
      </c>
      <c r="AL16" s="2">
        <v>2</v>
      </c>
      <c r="AM16" s="2"/>
      <c r="AN16" s="2">
        <v>5</v>
      </c>
      <c r="AO16" s="2">
        <v>0</v>
      </c>
      <c r="AP16" s="2"/>
      <c r="AQ16" s="2"/>
      <c r="AR16" s="2"/>
      <c r="AS16" s="2">
        <v>38</v>
      </c>
      <c r="AT16" s="2">
        <v>1</v>
      </c>
      <c r="AU16" s="2"/>
      <c r="AV16" s="2">
        <v>2</v>
      </c>
      <c r="AW16" s="2">
        <v>4</v>
      </c>
      <c r="AX16" s="2">
        <v>0</v>
      </c>
      <c r="AY16" s="2">
        <v>12</v>
      </c>
      <c r="AZ16" s="2"/>
      <c r="BA16" s="2">
        <v>3</v>
      </c>
      <c r="BB16" s="2">
        <v>25</v>
      </c>
      <c r="BC16" s="4">
        <v>30</v>
      </c>
      <c r="BD16" s="4">
        <v>3</v>
      </c>
      <c r="BE16" s="4">
        <v>6</v>
      </c>
      <c r="BF16" s="4">
        <v>15</v>
      </c>
      <c r="BG16" s="11"/>
      <c r="BH16" s="11">
        <v>23</v>
      </c>
      <c r="BI16" s="11">
        <v>6</v>
      </c>
      <c r="BJ16" s="11">
        <v>0</v>
      </c>
      <c r="BK16" s="4">
        <v>3</v>
      </c>
      <c r="BL16" s="4">
        <v>4</v>
      </c>
      <c r="BM16" s="4">
        <v>4</v>
      </c>
      <c r="BN16" s="2">
        <v>12</v>
      </c>
      <c r="BO16" s="2"/>
      <c r="BP16" s="2">
        <v>13</v>
      </c>
      <c r="BQ16" s="2">
        <v>8</v>
      </c>
      <c r="BR16" s="2"/>
      <c r="BS16" s="2"/>
      <c r="BT16" s="2"/>
      <c r="BU16" s="2">
        <v>38</v>
      </c>
      <c r="BV16" s="2">
        <v>6</v>
      </c>
      <c r="BW16" s="2">
        <v>2</v>
      </c>
      <c r="BX16" s="2">
        <v>0</v>
      </c>
      <c r="BY16" s="2"/>
      <c r="BZ16" s="2">
        <v>54</v>
      </c>
      <c r="CA16" s="2">
        <v>15</v>
      </c>
      <c r="CB16" s="2">
        <v>17</v>
      </c>
      <c r="CC16" s="2">
        <v>0</v>
      </c>
      <c r="CD16" s="2">
        <v>15</v>
      </c>
      <c r="CE16" s="2">
        <v>1</v>
      </c>
      <c r="CF16" s="2">
        <v>3</v>
      </c>
      <c r="CG16" s="2">
        <v>0</v>
      </c>
      <c r="CH16" s="2"/>
      <c r="CI16" s="2">
        <v>0</v>
      </c>
      <c r="CJ16" s="2">
        <v>7</v>
      </c>
      <c r="CK16" s="2"/>
      <c r="CL16" s="2">
        <v>47</v>
      </c>
      <c r="CM16" s="2">
        <v>0</v>
      </c>
      <c r="CN16" s="2">
        <v>17</v>
      </c>
      <c r="CO16" s="10">
        <v>33</v>
      </c>
      <c r="CP16" s="10">
        <v>6</v>
      </c>
      <c r="CQ16" s="10">
        <v>20</v>
      </c>
      <c r="CR16" s="2">
        <v>0</v>
      </c>
      <c r="CS16" s="2"/>
      <c r="CT16" s="2">
        <v>17</v>
      </c>
      <c r="CU16" s="2">
        <v>19</v>
      </c>
      <c r="CV16" s="2">
        <v>2</v>
      </c>
      <c r="CW16" s="2"/>
      <c r="CX16" s="2"/>
      <c r="CY16" s="2">
        <v>41</v>
      </c>
      <c r="CZ16" s="2"/>
      <c r="DA16" s="2"/>
      <c r="DB16" s="2"/>
      <c r="DC16" s="2"/>
      <c r="DD16" s="2">
        <v>34</v>
      </c>
      <c r="DE16" s="2"/>
      <c r="DF16" s="2"/>
      <c r="DG16" s="2"/>
      <c r="DH16" s="4">
        <v>4</v>
      </c>
      <c r="DI16" s="2"/>
      <c r="DJ16" s="2"/>
      <c r="DK16" s="2"/>
      <c r="DL16" s="2"/>
      <c r="DM16" s="2">
        <v>23</v>
      </c>
      <c r="DN16" s="2">
        <v>16</v>
      </c>
      <c r="DO16" s="2"/>
      <c r="DP16" s="2"/>
      <c r="DQ16" s="2"/>
      <c r="DR16" s="2"/>
      <c r="DS16" s="2">
        <v>15</v>
      </c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>
        <v>8</v>
      </c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>
        <v>105</v>
      </c>
      <c r="FE16" s="2">
        <v>35</v>
      </c>
      <c r="FF16" s="2"/>
      <c r="FG16" s="2"/>
      <c r="FH16" s="2"/>
      <c r="FI16" s="2"/>
      <c r="FJ16" s="2"/>
      <c r="FK16" s="2">
        <f t="shared" ref="FK16:FK26" si="2">COUNT(D16:FI16)</f>
        <v>64</v>
      </c>
    </row>
    <row r="17" spans="1:167" ht="15.75" customHeight="1">
      <c r="A17" s="2" t="s">
        <v>19</v>
      </c>
      <c r="B17" s="10">
        <v>27.686172500000001</v>
      </c>
      <c r="C17" s="10">
        <v>85.407485100000002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>
        <v>17</v>
      </c>
      <c r="AG17" s="2"/>
      <c r="AH17" s="2"/>
      <c r="AI17" s="2">
        <v>1</v>
      </c>
      <c r="AJ17" s="2">
        <v>0</v>
      </c>
      <c r="AK17" s="2">
        <v>0</v>
      </c>
      <c r="AL17" s="2">
        <v>0</v>
      </c>
      <c r="AM17" s="2"/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22</v>
      </c>
      <c r="AU17" s="2">
        <v>17</v>
      </c>
      <c r="AV17" s="2">
        <v>31</v>
      </c>
      <c r="AW17" s="2">
        <v>6</v>
      </c>
      <c r="AX17" s="2">
        <v>9</v>
      </c>
      <c r="AY17" s="2">
        <v>18</v>
      </c>
      <c r="AZ17" s="2">
        <v>0</v>
      </c>
      <c r="BA17" s="2">
        <v>9</v>
      </c>
      <c r="BB17" s="2">
        <v>33</v>
      </c>
      <c r="BC17" s="15">
        <v>0</v>
      </c>
      <c r="BD17" s="16"/>
      <c r="BE17" s="15">
        <v>17</v>
      </c>
      <c r="BF17" s="15">
        <v>5</v>
      </c>
      <c r="BG17" s="15">
        <v>0</v>
      </c>
      <c r="BH17" s="11"/>
      <c r="BI17" s="4">
        <v>5</v>
      </c>
      <c r="BJ17" s="11"/>
      <c r="BK17" s="11"/>
      <c r="BL17" s="4">
        <v>9</v>
      </c>
      <c r="BM17" s="11"/>
      <c r="BN17" s="2">
        <v>16</v>
      </c>
      <c r="BO17" s="2">
        <v>0</v>
      </c>
      <c r="BP17" s="2">
        <v>5</v>
      </c>
      <c r="BQ17" s="2">
        <v>9</v>
      </c>
      <c r="BR17" s="2">
        <v>0</v>
      </c>
      <c r="BS17" s="2">
        <v>7</v>
      </c>
      <c r="BT17" s="2">
        <v>0</v>
      </c>
      <c r="BU17" s="2">
        <v>33</v>
      </c>
      <c r="BV17" s="2">
        <v>14</v>
      </c>
      <c r="BW17" s="2"/>
      <c r="BX17" s="2"/>
      <c r="BY17" s="2"/>
      <c r="BZ17" s="2"/>
      <c r="CA17" s="2"/>
      <c r="CB17" s="2">
        <v>16</v>
      </c>
      <c r="CC17" s="2">
        <v>0</v>
      </c>
      <c r="CD17" s="2">
        <v>5</v>
      </c>
      <c r="CE17" s="2">
        <v>0</v>
      </c>
      <c r="CF17" s="2">
        <v>0</v>
      </c>
      <c r="CG17" s="2">
        <v>0</v>
      </c>
      <c r="CH17" s="2"/>
      <c r="CI17" s="2"/>
      <c r="CJ17" s="2"/>
      <c r="CK17" s="2"/>
      <c r="CL17" s="2"/>
      <c r="CM17" s="2"/>
      <c r="CN17" s="2"/>
      <c r="CO17" s="3"/>
      <c r="CP17" s="3"/>
      <c r="CQ17" s="3"/>
      <c r="CR17" s="2"/>
      <c r="CS17" s="2"/>
      <c r="CT17" s="2"/>
      <c r="CU17" s="2"/>
      <c r="CV17" s="2"/>
      <c r="CW17" s="2">
        <v>31</v>
      </c>
      <c r="CX17" s="2">
        <v>0</v>
      </c>
      <c r="CY17" s="2">
        <v>5</v>
      </c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>
        <v>0</v>
      </c>
      <c r="DQ17" s="2"/>
      <c r="DR17" s="2"/>
      <c r="DS17" s="2"/>
      <c r="DT17" s="2">
        <v>31</v>
      </c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>
        <v>7</v>
      </c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>
        <f t="shared" si="2"/>
        <v>47</v>
      </c>
    </row>
    <row r="18" spans="1:167" ht="15.75" customHeight="1">
      <c r="A18" s="2" t="s">
        <v>20</v>
      </c>
      <c r="B18" s="17">
        <v>27.759319000000001</v>
      </c>
      <c r="C18" s="17">
        <v>85.353831999999997</v>
      </c>
      <c r="AB18" s="2"/>
      <c r="AD18" s="2"/>
      <c r="AE18" s="2"/>
      <c r="AF18" s="2"/>
      <c r="AI18" s="2"/>
      <c r="AJ18" s="2"/>
      <c r="AK18" s="2"/>
      <c r="AL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15"/>
      <c r="BD18" s="16"/>
      <c r="BE18" s="15"/>
      <c r="BF18" s="15"/>
      <c r="BG18" s="15"/>
      <c r="BH18" s="11"/>
      <c r="BI18" s="4"/>
      <c r="BJ18" s="11"/>
      <c r="BK18" s="11"/>
      <c r="BL18" s="4"/>
      <c r="BM18" s="11"/>
      <c r="BN18" s="2"/>
      <c r="BO18" s="2"/>
      <c r="BP18" s="2"/>
      <c r="BQ18" s="2"/>
      <c r="BR18" s="2"/>
      <c r="BS18" s="2"/>
      <c r="BT18" s="2"/>
      <c r="BU18" s="2"/>
      <c r="BV18" s="2"/>
      <c r="CB18" s="2"/>
      <c r="CC18" s="2"/>
      <c r="CD18" s="2"/>
      <c r="CE18" s="2"/>
      <c r="CF18" s="2"/>
      <c r="CG18" s="2"/>
      <c r="CO18" s="10">
        <v>8</v>
      </c>
      <c r="CP18" s="10">
        <v>12</v>
      </c>
      <c r="CQ18" s="10">
        <v>17</v>
      </c>
      <c r="CR18" s="2">
        <v>5</v>
      </c>
      <c r="CS18" s="2">
        <v>0</v>
      </c>
      <c r="CT18" s="2">
        <v>22</v>
      </c>
      <c r="CU18" s="2">
        <v>3</v>
      </c>
      <c r="CV18" s="2">
        <v>25</v>
      </c>
      <c r="CX18" s="2">
        <v>0</v>
      </c>
      <c r="CY18" s="2">
        <v>8</v>
      </c>
      <c r="DN18" s="2">
        <v>111</v>
      </c>
      <c r="DO18" s="2">
        <v>2</v>
      </c>
      <c r="DP18" s="2">
        <v>0</v>
      </c>
      <c r="DQ18" s="2">
        <v>0</v>
      </c>
      <c r="DR18" s="2">
        <v>0</v>
      </c>
      <c r="DS18" s="2">
        <v>82</v>
      </c>
      <c r="DT18" s="2">
        <v>25</v>
      </c>
      <c r="DU18" s="2">
        <v>0</v>
      </c>
      <c r="DV18" s="2">
        <v>13</v>
      </c>
      <c r="DW18" s="2">
        <v>8</v>
      </c>
      <c r="DZ18" s="2">
        <v>32</v>
      </c>
      <c r="FK18" s="2">
        <f t="shared" si="2"/>
        <v>21</v>
      </c>
    </row>
    <row r="19" spans="1:167" ht="15.75" customHeight="1">
      <c r="A19" s="3" t="s">
        <v>22</v>
      </c>
      <c r="B19" s="10">
        <v>27.6901303</v>
      </c>
      <c r="C19" s="10">
        <v>85.347649799999999</v>
      </c>
      <c r="D19" s="2">
        <v>38</v>
      </c>
      <c r="F19" s="2">
        <v>67</v>
      </c>
      <c r="G19" s="2">
        <v>0</v>
      </c>
      <c r="W19" s="2"/>
      <c r="Y19" s="2"/>
      <c r="AF19" s="2"/>
      <c r="AL19" s="2"/>
      <c r="AM19" s="2"/>
      <c r="AN19" s="2"/>
      <c r="AO19" s="2"/>
      <c r="AP19" s="2"/>
      <c r="AQ19" s="2"/>
      <c r="AR19" s="2"/>
      <c r="AS19" s="2"/>
      <c r="AT19" s="2"/>
      <c r="AV19" s="2"/>
      <c r="AW19" s="2"/>
      <c r="AX19" s="2"/>
      <c r="AY19" s="2"/>
      <c r="BA19" s="2"/>
      <c r="BB19" s="2"/>
      <c r="BC19" s="4"/>
      <c r="BD19" s="11"/>
      <c r="BE19" s="11">
        <v>36</v>
      </c>
      <c r="BF19" s="11"/>
      <c r="BG19" s="11"/>
      <c r="BH19" s="11">
        <v>0</v>
      </c>
      <c r="BI19" s="11">
        <v>0</v>
      </c>
      <c r="BJ19" s="11">
        <v>3</v>
      </c>
      <c r="BK19" s="11"/>
      <c r="BL19" s="11"/>
      <c r="BM19" s="4">
        <v>19</v>
      </c>
      <c r="BN19" s="2">
        <v>0</v>
      </c>
      <c r="BO19" s="2">
        <v>35</v>
      </c>
      <c r="BP19" s="2"/>
      <c r="BQ19" s="2">
        <v>3</v>
      </c>
      <c r="BS19" s="2"/>
      <c r="BT19" s="2"/>
      <c r="BU19" s="2"/>
      <c r="BV19" s="2"/>
      <c r="BZ19" s="2">
        <v>37</v>
      </c>
      <c r="CC19" s="2">
        <v>0</v>
      </c>
      <c r="CD19" s="2">
        <v>0</v>
      </c>
      <c r="CE19" s="2">
        <v>3</v>
      </c>
      <c r="CH19" s="2">
        <v>19</v>
      </c>
      <c r="CI19" s="2">
        <v>0</v>
      </c>
      <c r="CJ19" s="2">
        <v>34</v>
      </c>
      <c r="CL19" s="2">
        <v>2</v>
      </c>
      <c r="CO19" s="3"/>
      <c r="CP19" s="3"/>
      <c r="CQ19" s="3"/>
      <c r="CW19" s="2">
        <v>16</v>
      </c>
      <c r="CX19" s="2">
        <v>0</v>
      </c>
      <c r="CZ19" s="2">
        <v>14</v>
      </c>
      <c r="DA19" s="2">
        <v>0</v>
      </c>
      <c r="DB19" s="2">
        <v>4</v>
      </c>
      <c r="DC19" s="2">
        <v>0</v>
      </c>
      <c r="DD19" s="2">
        <v>5</v>
      </c>
      <c r="DE19" s="2">
        <v>11</v>
      </c>
      <c r="DF19" s="2">
        <v>18</v>
      </c>
      <c r="DG19" s="2">
        <v>0</v>
      </c>
      <c r="DH19" s="2">
        <v>3</v>
      </c>
      <c r="DI19" s="2">
        <v>0</v>
      </c>
      <c r="DK19" s="2">
        <v>0</v>
      </c>
      <c r="DL19" s="2">
        <v>2</v>
      </c>
      <c r="DM19" s="2">
        <v>25</v>
      </c>
      <c r="DN19" s="2">
        <v>22</v>
      </c>
      <c r="DO19" s="2">
        <v>0</v>
      </c>
      <c r="DP19" s="2">
        <v>0</v>
      </c>
      <c r="DQ19" s="2">
        <v>0</v>
      </c>
      <c r="DR19" s="2">
        <v>0</v>
      </c>
      <c r="DS19" s="2">
        <v>43</v>
      </c>
      <c r="DT19" s="2">
        <v>24</v>
      </c>
      <c r="DV19" s="2">
        <v>4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21</v>
      </c>
      <c r="EC19" s="2">
        <v>0</v>
      </c>
      <c r="ED19" s="2">
        <v>0</v>
      </c>
      <c r="EE19" s="2">
        <v>0</v>
      </c>
      <c r="EF19" s="2">
        <v>2</v>
      </c>
      <c r="EG19" s="2">
        <v>0</v>
      </c>
      <c r="EH19" s="2">
        <v>0</v>
      </c>
      <c r="EI19" s="2">
        <v>0</v>
      </c>
      <c r="EJ19" s="2">
        <v>0</v>
      </c>
      <c r="EK19" s="2">
        <v>28</v>
      </c>
      <c r="EL19" s="2">
        <v>17</v>
      </c>
      <c r="EM19" s="2">
        <v>23</v>
      </c>
      <c r="EN19" s="2">
        <v>3</v>
      </c>
      <c r="EO19" s="2">
        <v>0</v>
      </c>
      <c r="EP19" s="2">
        <v>0</v>
      </c>
      <c r="EQ19" s="2">
        <v>0</v>
      </c>
      <c r="ER19" s="2">
        <v>0</v>
      </c>
      <c r="FK19" s="2">
        <f t="shared" si="2"/>
        <v>64</v>
      </c>
    </row>
    <row r="20" spans="1:167" ht="15.75" customHeight="1">
      <c r="A20" s="3" t="s">
        <v>24</v>
      </c>
      <c r="B20" s="10">
        <v>27.607380200000001</v>
      </c>
      <c r="C20" s="10">
        <v>85.328346100000005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>
        <v>36</v>
      </c>
      <c r="X20" s="2"/>
      <c r="Y20" s="2">
        <v>13</v>
      </c>
      <c r="Z20" s="2"/>
      <c r="AA20" s="2"/>
      <c r="AB20" s="2"/>
      <c r="AC20" s="2"/>
      <c r="AD20" s="2"/>
      <c r="AE20" s="2"/>
      <c r="AF20" s="2">
        <v>10</v>
      </c>
      <c r="AG20" s="2"/>
      <c r="AH20" s="2"/>
      <c r="AI20" s="2"/>
      <c r="AJ20" s="2"/>
      <c r="AK20" s="2"/>
      <c r="AL20" s="2">
        <v>6</v>
      </c>
      <c r="AM20" s="2">
        <v>5</v>
      </c>
      <c r="AN20" s="2">
        <v>9</v>
      </c>
      <c r="AO20" s="2">
        <v>0</v>
      </c>
      <c r="AP20" s="2">
        <v>0</v>
      </c>
      <c r="AQ20" s="2">
        <v>0</v>
      </c>
      <c r="AR20" s="2">
        <v>0</v>
      </c>
      <c r="AS20" s="2">
        <v>60</v>
      </c>
      <c r="AT20" s="2">
        <v>0</v>
      </c>
      <c r="AU20" s="2"/>
      <c r="AV20" s="2">
        <v>6</v>
      </c>
      <c r="AW20" s="2">
        <v>8</v>
      </c>
      <c r="AX20" s="2">
        <v>0</v>
      </c>
      <c r="AY20" s="2">
        <v>17</v>
      </c>
      <c r="AZ20" s="2"/>
      <c r="BA20" s="2">
        <v>5</v>
      </c>
      <c r="BB20" s="2">
        <v>30</v>
      </c>
      <c r="BC20" s="4">
        <v>33</v>
      </c>
      <c r="BD20" s="11"/>
      <c r="BE20" s="11"/>
      <c r="BF20" s="11"/>
      <c r="BG20" s="11"/>
      <c r="BH20" s="11"/>
      <c r="BI20" s="11"/>
      <c r="BJ20" s="11"/>
      <c r="BK20" s="11"/>
      <c r="BL20" s="11"/>
      <c r="BM20" s="4">
        <v>9</v>
      </c>
      <c r="BN20" s="2">
        <v>8</v>
      </c>
      <c r="BO20" s="2"/>
      <c r="BP20" s="2">
        <v>10</v>
      </c>
      <c r="BQ20" s="2">
        <v>13</v>
      </c>
      <c r="BR20" s="2"/>
      <c r="BS20" s="2">
        <v>8</v>
      </c>
      <c r="BT20" s="2">
        <v>0</v>
      </c>
      <c r="BU20" s="2">
        <v>33</v>
      </c>
      <c r="BV20" s="2">
        <v>10</v>
      </c>
      <c r="BW20" s="2"/>
      <c r="BX20" s="2"/>
      <c r="BY20" s="2">
        <v>15</v>
      </c>
      <c r="BZ20" s="2">
        <v>40</v>
      </c>
      <c r="CA20" s="2">
        <v>17</v>
      </c>
      <c r="CB20" s="2">
        <v>19</v>
      </c>
      <c r="CC20" s="2"/>
      <c r="CD20" s="2"/>
      <c r="CE20" s="2"/>
      <c r="CF20" s="2">
        <v>6</v>
      </c>
      <c r="CG20" s="2">
        <v>0</v>
      </c>
      <c r="CH20" s="2"/>
      <c r="CI20" s="2"/>
      <c r="CJ20" s="2">
        <v>16</v>
      </c>
      <c r="CK20" s="2">
        <v>25</v>
      </c>
      <c r="CL20" s="2">
        <v>21</v>
      </c>
      <c r="CM20" s="2"/>
      <c r="CN20" s="2"/>
      <c r="CO20" s="3"/>
      <c r="CP20" s="3"/>
      <c r="CQ20" s="3"/>
      <c r="CR20" s="2"/>
      <c r="CS20" s="2"/>
      <c r="CT20" s="2"/>
      <c r="CU20" s="2">
        <v>19</v>
      </c>
      <c r="CV20" s="2">
        <v>5</v>
      </c>
      <c r="CW20" s="2"/>
      <c r="CX20" s="2"/>
      <c r="CY20" s="2">
        <v>40</v>
      </c>
      <c r="CZ20" s="2">
        <v>30</v>
      </c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>
        <v>14</v>
      </c>
      <c r="EL20" s="2"/>
      <c r="EM20" s="2"/>
      <c r="EN20" s="2"/>
      <c r="EO20" s="2"/>
      <c r="EP20" s="2"/>
      <c r="EQ20" s="2"/>
      <c r="ER20" s="2"/>
      <c r="ES20" s="2"/>
      <c r="ET20" s="2"/>
      <c r="EU20" s="2">
        <v>8</v>
      </c>
      <c r="EV20" s="2"/>
      <c r="EW20" s="2"/>
      <c r="EX20" s="2"/>
      <c r="EY20" s="2"/>
      <c r="EZ20" s="2"/>
      <c r="FA20" s="2">
        <v>8</v>
      </c>
      <c r="FB20" s="2"/>
      <c r="FC20" s="2"/>
      <c r="FD20" s="2"/>
      <c r="FE20" s="2"/>
      <c r="FF20" s="2"/>
      <c r="FG20" s="2"/>
      <c r="FH20" s="2"/>
      <c r="FI20" s="2"/>
      <c r="FJ20" s="2"/>
      <c r="FK20" s="2">
        <f t="shared" si="2"/>
        <v>43</v>
      </c>
    </row>
    <row r="21" spans="1:167" ht="15.75" customHeight="1">
      <c r="A21" s="3" t="s">
        <v>28</v>
      </c>
      <c r="B21" s="10">
        <v>27.741359599999999</v>
      </c>
      <c r="C21" s="10">
        <v>85.399352399999998</v>
      </c>
      <c r="D21" s="2">
        <v>25</v>
      </c>
      <c r="E21" s="2">
        <v>0</v>
      </c>
      <c r="F21" s="2">
        <v>4</v>
      </c>
      <c r="G21" s="2">
        <v>21</v>
      </c>
      <c r="H21" s="2">
        <v>0</v>
      </c>
      <c r="I21" s="2">
        <v>30</v>
      </c>
      <c r="N21" s="2">
        <v>0</v>
      </c>
      <c r="P21" s="2">
        <v>0</v>
      </c>
      <c r="Q21" s="2">
        <v>0</v>
      </c>
      <c r="R21" s="2">
        <v>8</v>
      </c>
      <c r="S21" s="2">
        <v>7</v>
      </c>
      <c r="T21" s="2">
        <v>7</v>
      </c>
      <c r="U21" s="2">
        <v>0</v>
      </c>
      <c r="V21" s="2">
        <v>4</v>
      </c>
      <c r="X21" s="2">
        <v>30</v>
      </c>
      <c r="Z21" s="2">
        <v>6</v>
      </c>
      <c r="AA21" s="2">
        <v>13</v>
      </c>
      <c r="AB21" s="2">
        <v>10</v>
      </c>
      <c r="AC21" s="2">
        <v>3</v>
      </c>
      <c r="AD21" s="2">
        <v>0</v>
      </c>
      <c r="AE21" s="2">
        <v>0</v>
      </c>
      <c r="AF21" s="2">
        <v>75</v>
      </c>
      <c r="AG21" s="2">
        <v>0</v>
      </c>
      <c r="AI21" s="2">
        <v>9</v>
      </c>
      <c r="AJ21" s="2">
        <v>0</v>
      </c>
      <c r="AK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13</v>
      </c>
      <c r="AT21" s="2">
        <v>3</v>
      </c>
      <c r="AU21" s="2">
        <v>8</v>
      </c>
      <c r="AV21" s="2">
        <v>2</v>
      </c>
      <c r="AW21" s="2">
        <v>30</v>
      </c>
      <c r="AX21" s="2">
        <v>32</v>
      </c>
      <c r="AY21" s="2">
        <v>53</v>
      </c>
      <c r="AZ21" s="2">
        <v>4</v>
      </c>
      <c r="BA21" s="2">
        <v>91</v>
      </c>
      <c r="BB21" s="2">
        <v>51</v>
      </c>
      <c r="BC21" s="4">
        <v>10</v>
      </c>
      <c r="BD21" s="4">
        <v>5</v>
      </c>
      <c r="BE21" s="4">
        <v>23</v>
      </c>
      <c r="BF21" s="11"/>
      <c r="BG21" s="11">
        <v>40</v>
      </c>
      <c r="BH21" s="11">
        <v>7</v>
      </c>
      <c r="BI21" s="11">
        <v>22</v>
      </c>
      <c r="BJ21" s="4">
        <v>21</v>
      </c>
      <c r="BK21" s="4">
        <v>21</v>
      </c>
      <c r="BL21" s="4">
        <v>38</v>
      </c>
      <c r="BM21" s="11">
        <v>6</v>
      </c>
      <c r="BN21" s="2">
        <v>7</v>
      </c>
      <c r="BO21" s="2">
        <v>5</v>
      </c>
      <c r="BP21" s="2">
        <v>0</v>
      </c>
      <c r="BQ21" s="2">
        <v>11</v>
      </c>
      <c r="BR21" s="2">
        <v>0</v>
      </c>
      <c r="BS21" s="2">
        <v>25</v>
      </c>
      <c r="BT21" s="2">
        <v>0</v>
      </c>
      <c r="BU21" s="2">
        <v>55</v>
      </c>
      <c r="BV21" s="2">
        <v>15</v>
      </c>
      <c r="BW21" s="2">
        <v>36</v>
      </c>
      <c r="BX21" s="2">
        <v>6</v>
      </c>
      <c r="BY21" s="2">
        <v>11</v>
      </c>
      <c r="BZ21" s="2">
        <v>19</v>
      </c>
      <c r="CA21" s="2">
        <v>14</v>
      </c>
      <c r="CB21" s="2">
        <v>13</v>
      </c>
      <c r="CC21" s="2">
        <v>0</v>
      </c>
      <c r="CD21" s="2">
        <v>0</v>
      </c>
      <c r="CE21" s="2">
        <v>0</v>
      </c>
      <c r="CF21" s="2">
        <v>6</v>
      </c>
      <c r="CG21" s="2">
        <v>0</v>
      </c>
      <c r="CH21" s="2">
        <v>47</v>
      </c>
      <c r="CJ21" s="2">
        <v>37</v>
      </c>
      <c r="CK21" s="2">
        <v>0</v>
      </c>
      <c r="CL21" s="2">
        <v>11</v>
      </c>
      <c r="CM21" s="2">
        <v>0</v>
      </c>
      <c r="CO21" s="3"/>
      <c r="CP21" s="3"/>
      <c r="CQ21" s="3">
        <v>78</v>
      </c>
      <c r="CR21" s="2">
        <v>19</v>
      </c>
      <c r="CS21" s="2">
        <v>1</v>
      </c>
      <c r="CT21" s="2">
        <v>29</v>
      </c>
      <c r="CU21" s="2">
        <v>2</v>
      </c>
      <c r="CW21" s="2">
        <v>48</v>
      </c>
      <c r="CY21" s="2">
        <v>11</v>
      </c>
      <c r="CZ21" s="2">
        <v>4</v>
      </c>
      <c r="DB21" s="2">
        <v>16</v>
      </c>
      <c r="DC21" s="2">
        <v>1</v>
      </c>
      <c r="DD21" s="2">
        <v>3</v>
      </c>
      <c r="DE21" s="2">
        <v>10</v>
      </c>
      <c r="DF21" s="2">
        <v>1</v>
      </c>
      <c r="DJ21" s="2">
        <v>75</v>
      </c>
      <c r="DL21" s="2">
        <v>19</v>
      </c>
      <c r="DN21" s="2">
        <v>130</v>
      </c>
      <c r="DO21" s="2">
        <v>0</v>
      </c>
      <c r="DP21" s="2">
        <v>0</v>
      </c>
      <c r="DQ21" s="2">
        <v>4</v>
      </c>
      <c r="DT21" s="2">
        <v>67</v>
      </c>
      <c r="DU21" s="2">
        <v>25</v>
      </c>
      <c r="DV21" s="2">
        <v>35</v>
      </c>
      <c r="DW21" s="2">
        <v>3</v>
      </c>
      <c r="DY21" s="2">
        <v>29</v>
      </c>
      <c r="DZ21" s="2">
        <v>17</v>
      </c>
      <c r="EB21" s="2">
        <v>56</v>
      </c>
      <c r="ED21" s="2">
        <v>10</v>
      </c>
      <c r="EE21" s="2">
        <v>0</v>
      </c>
      <c r="EF21" s="2">
        <v>0</v>
      </c>
      <c r="EH21" s="2">
        <v>43</v>
      </c>
      <c r="ER21" s="2">
        <v>52</v>
      </c>
      <c r="ES21" s="2">
        <v>36</v>
      </c>
      <c r="FK21" s="2">
        <f t="shared" si="2"/>
        <v>107</v>
      </c>
    </row>
    <row r="22" spans="1:167" ht="15.75" customHeight="1">
      <c r="A22" s="3" t="s">
        <v>33</v>
      </c>
      <c r="B22" s="10">
        <v>27.670845499999999</v>
      </c>
      <c r="C22" s="10">
        <v>85.334190699999994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4</v>
      </c>
      <c r="T22" s="2">
        <v>6</v>
      </c>
      <c r="U22" s="2">
        <v>0</v>
      </c>
      <c r="V22" s="2">
        <v>5</v>
      </c>
      <c r="W22" s="2">
        <v>28</v>
      </c>
      <c r="X22" s="2">
        <v>2</v>
      </c>
      <c r="Z22" s="2">
        <v>5</v>
      </c>
      <c r="AC22" s="2">
        <v>9</v>
      </c>
      <c r="AD22" s="2">
        <v>0</v>
      </c>
      <c r="AE22" s="2">
        <v>0</v>
      </c>
      <c r="AG22" s="2">
        <v>22</v>
      </c>
      <c r="AH22" s="2">
        <v>8</v>
      </c>
      <c r="AI22" s="2">
        <v>0</v>
      </c>
      <c r="AK22" s="2">
        <v>0</v>
      </c>
      <c r="AL22" s="2">
        <v>0</v>
      </c>
      <c r="AM22" s="2">
        <v>0</v>
      </c>
      <c r="AN22" s="2">
        <v>2</v>
      </c>
      <c r="AO22" s="2">
        <v>0</v>
      </c>
      <c r="AP22" s="2">
        <v>0</v>
      </c>
      <c r="AQ22" s="2">
        <v>0</v>
      </c>
      <c r="AR22" s="2">
        <v>0</v>
      </c>
      <c r="AS22" s="2">
        <v>16</v>
      </c>
      <c r="AT22" s="2">
        <v>18</v>
      </c>
      <c r="AU22" s="2">
        <v>18</v>
      </c>
      <c r="AV22" s="2">
        <v>3</v>
      </c>
      <c r="AW22" s="2">
        <v>8</v>
      </c>
      <c r="AX22" s="2">
        <v>3</v>
      </c>
      <c r="AY22" s="2">
        <v>28</v>
      </c>
      <c r="AZ22" s="2">
        <v>0</v>
      </c>
      <c r="BA22" s="2">
        <v>12</v>
      </c>
      <c r="BB22" s="2">
        <v>29</v>
      </c>
      <c r="BC22" s="15">
        <v>9</v>
      </c>
      <c r="BD22" s="15">
        <v>2</v>
      </c>
      <c r="BE22" s="15">
        <v>28</v>
      </c>
      <c r="BF22" s="16"/>
      <c r="BG22" s="15">
        <v>24</v>
      </c>
      <c r="BH22" s="11"/>
      <c r="BI22" s="4">
        <v>2</v>
      </c>
      <c r="BJ22" s="11"/>
      <c r="BK22" s="11"/>
      <c r="BL22" s="4">
        <v>5</v>
      </c>
      <c r="BM22" s="4">
        <v>2</v>
      </c>
      <c r="BN22" s="2">
        <v>10</v>
      </c>
      <c r="BO22" s="2">
        <v>0</v>
      </c>
      <c r="BP22" s="2">
        <v>3</v>
      </c>
      <c r="BQ22" s="2">
        <v>17</v>
      </c>
      <c r="BR22" s="2">
        <v>0</v>
      </c>
      <c r="BS22" s="2">
        <v>0</v>
      </c>
      <c r="BT22" s="2">
        <v>0</v>
      </c>
      <c r="BU22" s="2">
        <v>45</v>
      </c>
      <c r="BV22" s="2">
        <v>9</v>
      </c>
      <c r="BW22" s="2">
        <v>12</v>
      </c>
      <c r="BX22" s="2">
        <v>0</v>
      </c>
      <c r="BY22" s="2">
        <v>0</v>
      </c>
      <c r="BZ22" s="2">
        <v>41</v>
      </c>
      <c r="CA22" s="2">
        <v>4</v>
      </c>
      <c r="CB22" s="2">
        <v>13</v>
      </c>
      <c r="CC22" s="2">
        <v>0</v>
      </c>
      <c r="CD22" s="2">
        <v>6</v>
      </c>
      <c r="CE22" s="2">
        <v>5</v>
      </c>
      <c r="CF22" s="2">
        <v>0</v>
      </c>
      <c r="CG22" s="2">
        <v>0</v>
      </c>
      <c r="CH22" s="2">
        <v>10</v>
      </c>
      <c r="CI22" s="2">
        <v>0</v>
      </c>
      <c r="CJ22" s="2">
        <v>10</v>
      </c>
      <c r="CK22" s="2">
        <v>0</v>
      </c>
      <c r="CL22" s="2">
        <v>11</v>
      </c>
      <c r="CM22" s="2">
        <v>0</v>
      </c>
      <c r="CN22" s="2">
        <v>30</v>
      </c>
      <c r="CO22" s="10">
        <v>7</v>
      </c>
      <c r="CP22" s="10">
        <v>0</v>
      </c>
      <c r="CQ22" s="3">
        <v>7</v>
      </c>
      <c r="CR22" s="2">
        <v>0</v>
      </c>
      <c r="CS22" s="2">
        <v>0</v>
      </c>
      <c r="CT22" s="2">
        <v>40</v>
      </c>
      <c r="CV22" s="2">
        <v>16</v>
      </c>
      <c r="CW22" s="2">
        <v>0</v>
      </c>
      <c r="CX22" s="2">
        <v>0</v>
      </c>
      <c r="CY22" s="2">
        <v>10</v>
      </c>
      <c r="CZ22" s="2">
        <v>0</v>
      </c>
      <c r="DA22" s="2">
        <v>0</v>
      </c>
      <c r="DB22" s="2">
        <v>0</v>
      </c>
      <c r="DC22" s="2">
        <v>0</v>
      </c>
      <c r="DD22" s="2">
        <v>12</v>
      </c>
      <c r="DE22" s="2">
        <v>0</v>
      </c>
      <c r="DF22" s="2">
        <v>26</v>
      </c>
      <c r="DG22" s="2">
        <v>0</v>
      </c>
      <c r="DI22" s="2">
        <v>47</v>
      </c>
      <c r="DJ22" s="2">
        <v>0</v>
      </c>
      <c r="DK22" s="2">
        <v>0</v>
      </c>
      <c r="DM22" s="2">
        <v>28</v>
      </c>
      <c r="DN22" s="2">
        <v>64</v>
      </c>
      <c r="DO22" s="2">
        <v>0</v>
      </c>
      <c r="DP22" s="2">
        <v>0</v>
      </c>
      <c r="DR22" s="2">
        <v>0</v>
      </c>
      <c r="DS22" s="2">
        <v>25</v>
      </c>
      <c r="DT22" s="2">
        <v>11</v>
      </c>
      <c r="DX22" s="2">
        <v>0</v>
      </c>
      <c r="DY22" s="2">
        <v>0</v>
      </c>
      <c r="DZ22" s="2">
        <v>0</v>
      </c>
      <c r="EA22" s="2">
        <v>0</v>
      </c>
      <c r="FK22" s="2">
        <f t="shared" si="2"/>
        <v>102</v>
      </c>
    </row>
    <row r="23" spans="1:167" ht="15.75" customHeight="1">
      <c r="A23" s="3" t="s">
        <v>40</v>
      </c>
      <c r="B23" s="2">
        <v>27.751551899999999</v>
      </c>
      <c r="C23" s="2">
        <v>85.332023699999993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Z23" s="2"/>
      <c r="AC23" s="2"/>
      <c r="AD23" s="2">
        <v>0</v>
      </c>
      <c r="AE23" s="2">
        <v>0</v>
      </c>
      <c r="AF23" s="2">
        <v>32</v>
      </c>
      <c r="AH23" s="2">
        <v>0</v>
      </c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CO23" s="3"/>
      <c r="CP23" s="3"/>
      <c r="CQ23" s="3"/>
      <c r="FK23" s="2">
        <f t="shared" si="2"/>
        <v>4</v>
      </c>
    </row>
    <row r="24" spans="1:167" ht="15.75" customHeight="1">
      <c r="A24" s="3" t="s">
        <v>42</v>
      </c>
      <c r="B24" s="18">
        <v>27.64939012</v>
      </c>
      <c r="C24" s="18">
        <v>85.353671059999996</v>
      </c>
      <c r="W24" s="30">
        <v>59</v>
      </c>
      <c r="X24" s="31"/>
      <c r="Z24" s="2">
        <v>69</v>
      </c>
      <c r="AE24" s="2">
        <v>73</v>
      </c>
      <c r="AF24" s="2">
        <v>36</v>
      </c>
      <c r="AG24" s="2">
        <v>6</v>
      </c>
      <c r="AH24" s="2">
        <v>4</v>
      </c>
      <c r="AI24" s="2">
        <v>0</v>
      </c>
      <c r="AJ24" s="2">
        <v>0</v>
      </c>
      <c r="AK24" s="2">
        <v>0</v>
      </c>
      <c r="AL24" s="2">
        <v>4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7</v>
      </c>
      <c r="AU24" s="2">
        <v>4</v>
      </c>
      <c r="AV24" s="2">
        <v>19</v>
      </c>
      <c r="AW24" s="2">
        <v>10</v>
      </c>
      <c r="AX24" s="2">
        <v>0</v>
      </c>
      <c r="AY24" s="2">
        <v>15</v>
      </c>
      <c r="AZ24" s="2">
        <v>0</v>
      </c>
      <c r="BA24" s="2">
        <v>0</v>
      </c>
      <c r="BB24" s="2">
        <v>29</v>
      </c>
      <c r="BC24" s="4">
        <v>11</v>
      </c>
      <c r="BD24" s="4">
        <v>3</v>
      </c>
      <c r="BE24" s="4">
        <v>15</v>
      </c>
      <c r="BF24" s="11">
        <v>12</v>
      </c>
      <c r="BG24" s="11">
        <v>4</v>
      </c>
      <c r="BH24" s="11">
        <v>11</v>
      </c>
      <c r="BI24" s="11">
        <v>11</v>
      </c>
      <c r="BJ24" s="11">
        <v>4</v>
      </c>
      <c r="BK24" s="4">
        <v>4</v>
      </c>
      <c r="BL24" s="4">
        <v>17</v>
      </c>
      <c r="BM24" s="11">
        <v>0</v>
      </c>
      <c r="BN24" s="2">
        <v>7</v>
      </c>
      <c r="BO24" s="2">
        <v>0</v>
      </c>
      <c r="BP24" s="2">
        <v>13</v>
      </c>
      <c r="BQ24" s="2">
        <v>20</v>
      </c>
      <c r="BR24" s="2">
        <v>0</v>
      </c>
      <c r="BS24" s="2">
        <v>15</v>
      </c>
      <c r="BT24" s="2">
        <v>0</v>
      </c>
      <c r="BU24" s="2">
        <v>80</v>
      </c>
      <c r="BV24" s="2">
        <v>6</v>
      </c>
      <c r="BW24" s="2">
        <v>2</v>
      </c>
      <c r="BX24" s="2">
        <v>0</v>
      </c>
      <c r="BY24" s="2">
        <v>15</v>
      </c>
      <c r="BZ24" s="2">
        <v>36</v>
      </c>
      <c r="CA24" s="2">
        <v>17</v>
      </c>
      <c r="CB24" s="2">
        <v>29</v>
      </c>
      <c r="CC24" s="2">
        <v>0</v>
      </c>
      <c r="CO24" s="3"/>
      <c r="CP24" s="3"/>
      <c r="CQ24" s="3"/>
      <c r="CX24" s="2">
        <v>0</v>
      </c>
      <c r="CY24" s="2">
        <v>10</v>
      </c>
      <c r="CZ24" s="2">
        <v>3</v>
      </c>
      <c r="DA24" s="2">
        <v>0</v>
      </c>
      <c r="DB24" s="2">
        <v>0</v>
      </c>
      <c r="DC24" s="2">
        <v>0</v>
      </c>
      <c r="DD24" s="2">
        <v>5</v>
      </c>
      <c r="DE24" s="2">
        <v>12</v>
      </c>
      <c r="DF24" s="2">
        <v>25</v>
      </c>
      <c r="DG24" s="2">
        <v>0</v>
      </c>
      <c r="DH24" s="2">
        <v>11</v>
      </c>
      <c r="DI24" s="2">
        <v>16</v>
      </c>
      <c r="DJ24" s="2">
        <v>26</v>
      </c>
      <c r="DK24" s="2">
        <v>10</v>
      </c>
      <c r="DL24" s="2">
        <v>0</v>
      </c>
      <c r="DM24" s="2">
        <v>18</v>
      </c>
      <c r="DN24" s="2">
        <v>50</v>
      </c>
      <c r="DO24" s="2">
        <v>0</v>
      </c>
      <c r="DP24" s="2">
        <v>0</v>
      </c>
      <c r="DQ24" s="2">
        <v>0</v>
      </c>
      <c r="DR24" s="2">
        <v>0</v>
      </c>
      <c r="DS24" s="2">
        <v>37</v>
      </c>
      <c r="DT24" s="2">
        <v>15</v>
      </c>
      <c r="DV24" s="2">
        <v>0</v>
      </c>
      <c r="DW24" s="2">
        <v>5</v>
      </c>
      <c r="DX24" s="2">
        <v>0</v>
      </c>
      <c r="DZ24" s="2">
        <v>0</v>
      </c>
      <c r="EC24" s="2">
        <v>10</v>
      </c>
      <c r="EK24" s="2">
        <v>14</v>
      </c>
      <c r="EL24" s="2">
        <v>14</v>
      </c>
      <c r="EM24" s="2">
        <v>30</v>
      </c>
      <c r="EO24" s="2">
        <v>21</v>
      </c>
      <c r="FK24" s="2">
        <f t="shared" si="2"/>
        <v>84</v>
      </c>
    </row>
    <row r="25" spans="1:167" ht="15.75" customHeight="1">
      <c r="A25" s="3" t="s">
        <v>47</v>
      </c>
      <c r="B25" s="10">
        <v>27.6794768</v>
      </c>
      <c r="C25" s="10">
        <v>85.323389599999999</v>
      </c>
      <c r="M25" s="2">
        <v>0</v>
      </c>
      <c r="N25" s="2">
        <v>0</v>
      </c>
      <c r="T25" s="2">
        <v>5</v>
      </c>
      <c r="AF25" s="2">
        <v>34</v>
      </c>
      <c r="AG25" s="30">
        <v>7</v>
      </c>
      <c r="AH25" s="31"/>
      <c r="AI25" s="31"/>
      <c r="AJ25" s="31"/>
      <c r="AK25" s="2">
        <v>0</v>
      </c>
      <c r="AM25" s="2">
        <v>3</v>
      </c>
      <c r="AO25" s="2">
        <v>0</v>
      </c>
      <c r="AS25" s="2">
        <v>20</v>
      </c>
      <c r="AW25" s="2">
        <v>58</v>
      </c>
      <c r="AY25" s="2">
        <v>33</v>
      </c>
      <c r="AZ25" s="2">
        <v>2</v>
      </c>
      <c r="BA25" s="2">
        <v>4</v>
      </c>
      <c r="BB25" s="33">
        <v>34</v>
      </c>
      <c r="BC25" s="31"/>
      <c r="BD25" s="4">
        <v>1</v>
      </c>
      <c r="BE25" s="4">
        <v>47</v>
      </c>
      <c r="BF25" s="11"/>
      <c r="BG25" s="11"/>
      <c r="BH25" s="11"/>
      <c r="BI25" s="11"/>
      <c r="BJ25" s="11"/>
      <c r="BK25" s="11"/>
      <c r="BL25" s="11"/>
      <c r="BM25" s="11"/>
      <c r="CO25" s="3"/>
      <c r="CP25" s="3"/>
      <c r="CQ25" s="3"/>
      <c r="FK25" s="2">
        <f t="shared" si="2"/>
        <v>16</v>
      </c>
    </row>
    <row r="26" spans="1:167" ht="15.75" customHeight="1">
      <c r="A26" s="3" t="s">
        <v>50</v>
      </c>
      <c r="B26" s="10">
        <v>27.711289799999999</v>
      </c>
      <c r="C26" s="10">
        <v>85.415129300000004</v>
      </c>
      <c r="D26" s="2">
        <v>0</v>
      </c>
      <c r="E26" s="2"/>
      <c r="F26" s="2"/>
      <c r="G26" s="2"/>
      <c r="H26" s="2"/>
      <c r="I26" s="2"/>
      <c r="J26" s="2"/>
      <c r="K26" s="2">
        <v>0</v>
      </c>
      <c r="L26" s="2">
        <v>0</v>
      </c>
      <c r="M26" s="2"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0</v>
      </c>
      <c r="AD26" s="2"/>
      <c r="AE26" s="2">
        <v>0</v>
      </c>
      <c r="AF26" s="2">
        <v>28</v>
      </c>
      <c r="AG26" s="2"/>
      <c r="AH26" s="2">
        <v>4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>
        <v>0</v>
      </c>
      <c r="AZ26" s="2">
        <v>0</v>
      </c>
      <c r="BA26" s="2"/>
      <c r="BB26" s="2"/>
      <c r="BC26" s="11"/>
      <c r="BD26" s="11"/>
      <c r="BE26" s="4">
        <v>17.5</v>
      </c>
      <c r="BF26" s="11"/>
      <c r="BG26" s="11"/>
      <c r="BH26" s="11"/>
      <c r="BI26" s="11"/>
      <c r="BJ26" s="11"/>
      <c r="BK26" s="11"/>
      <c r="BL26" s="11"/>
      <c r="BM26" s="11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3"/>
      <c r="CP26" s="3"/>
      <c r="CQ26" s="3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>
        <f t="shared" si="2"/>
        <v>11</v>
      </c>
    </row>
    <row r="27" spans="1:167" ht="15.75" customHeight="1">
      <c r="A27" s="2" t="s">
        <v>52</v>
      </c>
      <c r="B27" s="2">
        <v>27.666308999999998</v>
      </c>
      <c r="C27" s="2">
        <v>27.666308999999998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69.5</v>
      </c>
      <c r="AD27" s="2">
        <v>0.3</v>
      </c>
      <c r="AE27" s="30">
        <v>42.5</v>
      </c>
      <c r="AF27" s="31"/>
      <c r="AG27" s="31"/>
      <c r="AH27" s="30">
        <v>3</v>
      </c>
      <c r="AI27" s="31"/>
      <c r="AJ27" s="31"/>
      <c r="AK27" s="2">
        <v>0</v>
      </c>
      <c r="AL27" s="2">
        <v>1.5</v>
      </c>
      <c r="AM27" s="2">
        <v>1.2</v>
      </c>
      <c r="AN27" s="2">
        <v>0.2</v>
      </c>
      <c r="AO27" s="2">
        <v>0</v>
      </c>
      <c r="AP27" s="2">
        <v>0</v>
      </c>
      <c r="AQ27" s="2">
        <v>0</v>
      </c>
      <c r="AR27" s="2">
        <v>0</v>
      </c>
      <c r="AS27" s="2">
        <v>25</v>
      </c>
      <c r="AT27" s="2">
        <v>21.9</v>
      </c>
      <c r="AU27" s="2">
        <v>4.4000000000000004</v>
      </c>
      <c r="AV27" s="30">
        <v>44.5</v>
      </c>
      <c r="AW27" s="31"/>
      <c r="AX27" s="31"/>
      <c r="AY27" s="2">
        <v>18.399999999999999</v>
      </c>
      <c r="AZ27" s="2">
        <v>0.2</v>
      </c>
      <c r="BA27" s="2">
        <v>0</v>
      </c>
      <c r="BB27" s="2">
        <v>28.4</v>
      </c>
      <c r="BC27" s="34">
        <v>24.4</v>
      </c>
      <c r="BD27" s="31"/>
      <c r="BE27" s="31"/>
      <c r="BF27" s="11"/>
      <c r="BG27" s="11"/>
      <c r="BH27" s="11"/>
      <c r="BI27" s="11">
        <v>18.2</v>
      </c>
      <c r="BJ27" s="11"/>
      <c r="BK27" s="11"/>
      <c r="BL27" s="11"/>
      <c r="BM27" s="4">
        <v>10.5</v>
      </c>
      <c r="BN27" s="30">
        <v>7.5</v>
      </c>
      <c r="BO27" s="31"/>
      <c r="BP27" s="2">
        <v>6.9</v>
      </c>
      <c r="BQ27" s="30">
        <v>24.5</v>
      </c>
      <c r="BR27" s="31"/>
      <c r="BS27" s="31"/>
      <c r="BT27" s="2">
        <v>0.2</v>
      </c>
      <c r="BU27" s="2">
        <v>44</v>
      </c>
      <c r="BV27" s="2">
        <v>6.6</v>
      </c>
      <c r="BW27" s="2">
        <v>3</v>
      </c>
      <c r="BX27" s="2">
        <v>0</v>
      </c>
      <c r="BY27" s="30">
        <v>33.5</v>
      </c>
      <c r="BZ27" s="31"/>
      <c r="CA27" s="30">
        <v>13.5</v>
      </c>
      <c r="CB27" s="31"/>
      <c r="CC27" s="2">
        <v>0</v>
      </c>
      <c r="CD27" s="30">
        <v>5.5</v>
      </c>
      <c r="CE27" s="31"/>
      <c r="CF27" s="31"/>
      <c r="CG27" s="2">
        <v>0</v>
      </c>
      <c r="CH27" s="2">
        <v>5.6</v>
      </c>
      <c r="CI27" s="2">
        <v>0</v>
      </c>
      <c r="CJ27" s="2">
        <v>1.5</v>
      </c>
      <c r="CK27" s="2">
        <v>6.4</v>
      </c>
      <c r="CL27" s="30">
        <v>44.8</v>
      </c>
      <c r="CM27" s="31"/>
      <c r="CN27" s="31"/>
      <c r="CO27" s="10">
        <v>7.5</v>
      </c>
      <c r="CP27" s="10">
        <v>0</v>
      </c>
      <c r="CQ27" s="3">
        <v>4.2</v>
      </c>
      <c r="CR27" s="2">
        <v>2.2000000000000002</v>
      </c>
      <c r="CS27" s="30">
        <v>43.3</v>
      </c>
      <c r="CT27" s="31"/>
      <c r="CU27" s="31"/>
      <c r="CV27" s="2">
        <v>5.4</v>
      </c>
      <c r="CW27" s="2">
        <v>2</v>
      </c>
      <c r="CX27" s="2">
        <v>0</v>
      </c>
      <c r="CY27" s="2">
        <v>22.5</v>
      </c>
      <c r="CZ27" s="2"/>
      <c r="DA27" s="2"/>
      <c r="DB27" s="2">
        <v>6</v>
      </c>
      <c r="DC27" s="2">
        <v>0.8</v>
      </c>
      <c r="DD27" s="2">
        <v>8.6</v>
      </c>
      <c r="DE27" s="2">
        <v>8.5</v>
      </c>
      <c r="DF27" s="2">
        <v>23.5</v>
      </c>
      <c r="DG27" s="30">
        <v>11</v>
      </c>
      <c r="DH27" s="31"/>
      <c r="DI27" s="31"/>
      <c r="DJ27" s="2">
        <v>29.2</v>
      </c>
      <c r="DK27" s="2">
        <v>0.8</v>
      </c>
      <c r="DL27" s="30">
        <v>25</v>
      </c>
      <c r="DM27" s="31"/>
      <c r="DN27" s="30">
        <v>51.5</v>
      </c>
      <c r="DO27" s="31"/>
      <c r="DP27" s="2">
        <v>0</v>
      </c>
      <c r="DQ27" s="2">
        <v>0</v>
      </c>
      <c r="DR27" s="2">
        <v>0</v>
      </c>
      <c r="DS27" s="2">
        <v>37.4</v>
      </c>
      <c r="DT27" s="2">
        <v>0</v>
      </c>
      <c r="DU27" s="2"/>
      <c r="DV27" s="2"/>
      <c r="DW27" s="2">
        <v>8.5</v>
      </c>
      <c r="DX27" s="2"/>
      <c r="DY27" s="2"/>
      <c r="DZ27" s="2">
        <v>1</v>
      </c>
      <c r="EA27" s="2">
        <v>0</v>
      </c>
      <c r="EB27" s="30">
        <v>2</v>
      </c>
      <c r="EC27" s="31"/>
      <c r="ED27" s="31"/>
      <c r="EE27" s="30">
        <v>23</v>
      </c>
      <c r="EF27" s="31"/>
      <c r="EG27" s="31"/>
      <c r="EH27" s="31"/>
      <c r="EI27" s="31"/>
      <c r="EJ27" s="31"/>
      <c r="EK27" s="31"/>
      <c r="EL27" s="2">
        <v>21</v>
      </c>
      <c r="EM27" s="2">
        <v>37.5</v>
      </c>
      <c r="EN27" s="2">
        <v>3</v>
      </c>
      <c r="EO27" s="2"/>
      <c r="EP27" s="2"/>
      <c r="EQ27" s="2"/>
      <c r="ER27" s="2"/>
      <c r="ES27" s="2"/>
      <c r="ET27" s="2">
        <v>2.5</v>
      </c>
      <c r="EU27" s="2"/>
      <c r="EV27" s="2">
        <v>0</v>
      </c>
      <c r="EW27" s="30">
        <v>165</v>
      </c>
      <c r="EX27" s="31"/>
      <c r="EY27" s="31"/>
      <c r="EZ27" s="31"/>
      <c r="FA27" s="31"/>
      <c r="FB27" s="31"/>
      <c r="FC27" s="31"/>
      <c r="FD27" s="31"/>
      <c r="FE27" s="31"/>
      <c r="FF27" s="31"/>
      <c r="FG27" s="2">
        <v>0</v>
      </c>
      <c r="FH27" s="2">
        <v>3</v>
      </c>
      <c r="FI27" s="2">
        <v>0</v>
      </c>
      <c r="FJ27" s="2">
        <v>0</v>
      </c>
      <c r="FK27" s="2">
        <f>COUNT(D27:FJ27)</f>
        <v>80</v>
      </c>
    </row>
    <row r="28" spans="1:167" ht="15.75" customHeight="1">
      <c r="A28" s="3" t="s">
        <v>54</v>
      </c>
      <c r="B28" s="10">
        <v>27.636632200000001</v>
      </c>
      <c r="C28" s="10">
        <v>85.530709099999996</v>
      </c>
      <c r="E28" s="30">
        <v>10.3</v>
      </c>
      <c r="F28" s="31"/>
      <c r="G28" s="30">
        <v>10</v>
      </c>
      <c r="H28" s="31"/>
      <c r="I28" s="2">
        <v>0</v>
      </c>
      <c r="J28" s="2">
        <v>18</v>
      </c>
      <c r="K28" s="2">
        <v>0</v>
      </c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CO28" s="3"/>
      <c r="CP28" s="3"/>
      <c r="CQ28" s="3"/>
      <c r="CR28" s="2">
        <v>83</v>
      </c>
      <c r="FK28" s="2">
        <f t="shared" ref="FK28:FK42" si="3">COUNT(D28:FI28)</f>
        <v>6</v>
      </c>
    </row>
    <row r="29" spans="1:167" ht="15.75" customHeight="1">
      <c r="A29" s="3" t="s">
        <v>56</v>
      </c>
      <c r="B29" s="10">
        <v>27.735400599999998</v>
      </c>
      <c r="C29" s="10">
        <v>85.368753600000005</v>
      </c>
      <c r="Z29" s="2">
        <v>0</v>
      </c>
      <c r="AA29" s="2">
        <v>31</v>
      </c>
      <c r="AB29" s="2">
        <v>27</v>
      </c>
      <c r="AC29" s="2">
        <v>2</v>
      </c>
      <c r="AD29" s="2">
        <v>0</v>
      </c>
      <c r="AF29" s="2">
        <v>49</v>
      </c>
      <c r="AG29" s="2">
        <v>3</v>
      </c>
      <c r="AH29" s="2">
        <v>2</v>
      </c>
      <c r="AJ29" s="2">
        <v>0</v>
      </c>
      <c r="AK29" s="2">
        <v>0</v>
      </c>
      <c r="AN29" s="2">
        <v>0</v>
      </c>
      <c r="AP29" s="2">
        <v>0</v>
      </c>
      <c r="AR29" s="2">
        <v>0</v>
      </c>
      <c r="AS29" s="2">
        <v>54</v>
      </c>
      <c r="AV29" s="2">
        <v>2</v>
      </c>
      <c r="AW29" s="2">
        <v>13</v>
      </c>
      <c r="AZ29" s="2">
        <v>48</v>
      </c>
      <c r="BC29" s="4">
        <v>88</v>
      </c>
      <c r="BD29" s="11"/>
      <c r="BE29" s="4">
        <v>86</v>
      </c>
      <c r="BF29" s="11">
        <v>15</v>
      </c>
      <c r="BG29" s="11"/>
      <c r="BH29" s="11">
        <v>27</v>
      </c>
      <c r="BI29" s="11"/>
      <c r="BJ29" s="11">
        <v>40</v>
      </c>
      <c r="BK29" s="11"/>
      <c r="BL29" s="4">
        <v>74</v>
      </c>
      <c r="BM29" s="11"/>
      <c r="CO29" s="3"/>
      <c r="CP29" s="3"/>
      <c r="CQ29" s="3"/>
      <c r="FK29" s="2">
        <f t="shared" si="3"/>
        <v>23</v>
      </c>
    </row>
    <row r="30" spans="1:167" ht="14.6">
      <c r="A30" s="3" t="s">
        <v>57</v>
      </c>
      <c r="B30" s="10">
        <v>27.671532599999999</v>
      </c>
      <c r="C30" s="10">
        <v>85.429994500000006</v>
      </c>
      <c r="D30" s="2">
        <v>10</v>
      </c>
      <c r="E30" s="2">
        <v>20</v>
      </c>
      <c r="G30" s="2">
        <v>26</v>
      </c>
      <c r="V30" s="2">
        <v>41</v>
      </c>
      <c r="AA30" s="2">
        <v>13</v>
      </c>
      <c r="AC30" s="2">
        <v>1</v>
      </c>
      <c r="AG30" s="2">
        <v>10</v>
      </c>
      <c r="AM30" s="2">
        <v>13</v>
      </c>
      <c r="AU30" s="2">
        <v>96</v>
      </c>
      <c r="AX30" s="2">
        <v>10</v>
      </c>
      <c r="AZ30" s="2">
        <v>19</v>
      </c>
      <c r="BB30" s="2">
        <v>40</v>
      </c>
      <c r="BC30" s="11"/>
      <c r="BD30" s="11"/>
      <c r="BE30" s="4">
        <v>54</v>
      </c>
      <c r="BF30" s="11"/>
      <c r="BG30" s="11">
        <v>53</v>
      </c>
      <c r="BH30" s="11"/>
      <c r="BI30" s="11"/>
      <c r="BJ30" s="11"/>
      <c r="BK30" s="4">
        <v>32</v>
      </c>
      <c r="BL30" s="4">
        <v>17</v>
      </c>
      <c r="BM30" s="11"/>
      <c r="BO30" s="2">
        <v>11</v>
      </c>
      <c r="BQ30" s="2">
        <v>8</v>
      </c>
      <c r="BV30" s="2">
        <v>90</v>
      </c>
      <c r="CB30" s="2">
        <v>13</v>
      </c>
      <c r="CG30" s="2">
        <v>4</v>
      </c>
      <c r="CL30" s="2">
        <v>7</v>
      </c>
      <c r="CN30" s="2">
        <v>20</v>
      </c>
      <c r="CO30" s="3"/>
      <c r="CP30" s="3"/>
      <c r="CQ30" s="3">
        <v>9</v>
      </c>
      <c r="CS30" s="2">
        <v>18</v>
      </c>
      <c r="CU30" s="2">
        <v>63</v>
      </c>
      <c r="CW30" s="2">
        <v>43</v>
      </c>
      <c r="DB30" s="2">
        <v>13</v>
      </c>
      <c r="DJ30" s="2">
        <v>46</v>
      </c>
      <c r="DM30" s="2">
        <v>66</v>
      </c>
      <c r="DQ30" s="2">
        <v>5</v>
      </c>
      <c r="DT30" s="2">
        <v>73</v>
      </c>
      <c r="DX30" s="2">
        <v>29</v>
      </c>
      <c r="EK30" s="2">
        <v>12</v>
      </c>
      <c r="EN30" s="2">
        <v>22</v>
      </c>
      <c r="EU30" s="2">
        <v>64</v>
      </c>
      <c r="FK30" s="2">
        <f t="shared" si="3"/>
        <v>36</v>
      </c>
    </row>
    <row r="31" spans="1:167" ht="14.6">
      <c r="A31" s="2" t="s">
        <v>59</v>
      </c>
      <c r="B31" s="2">
        <v>27.732059799999998</v>
      </c>
      <c r="C31" s="2">
        <v>85.291081300000002</v>
      </c>
      <c r="D31" s="2"/>
      <c r="E31" s="2"/>
      <c r="G31" s="2"/>
      <c r="V31" s="2"/>
      <c r="AA31" s="2">
        <v>31</v>
      </c>
      <c r="AB31" s="2">
        <v>11.5</v>
      </c>
      <c r="AC31" s="2">
        <v>4</v>
      </c>
      <c r="AD31" s="2">
        <v>15</v>
      </c>
      <c r="AE31" s="2">
        <v>0</v>
      </c>
      <c r="AF31" s="2">
        <v>89</v>
      </c>
      <c r="AG31" s="2">
        <v>6</v>
      </c>
      <c r="AH31" s="2">
        <v>6</v>
      </c>
      <c r="AI31" s="2">
        <v>0</v>
      </c>
      <c r="AJ31" s="2">
        <v>0</v>
      </c>
      <c r="AK31" s="2">
        <v>0</v>
      </c>
      <c r="AL31" s="2">
        <v>5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7</v>
      </c>
      <c r="AU31" s="2">
        <v>3</v>
      </c>
      <c r="AV31" s="2">
        <v>6</v>
      </c>
      <c r="AW31" s="2">
        <v>22</v>
      </c>
      <c r="AX31" s="2">
        <v>0</v>
      </c>
      <c r="AY31" s="2">
        <v>7</v>
      </c>
      <c r="AZ31" s="2">
        <v>0</v>
      </c>
      <c r="BA31" s="2">
        <v>5</v>
      </c>
      <c r="BB31" s="2">
        <v>20</v>
      </c>
      <c r="BC31" s="11"/>
      <c r="BD31" s="4">
        <v>2</v>
      </c>
      <c r="BE31" s="4">
        <v>11</v>
      </c>
      <c r="BF31" s="4">
        <v>30</v>
      </c>
      <c r="BG31" s="11">
        <v>22.5</v>
      </c>
      <c r="BH31" s="11">
        <v>16</v>
      </c>
      <c r="BI31" s="11">
        <v>40</v>
      </c>
      <c r="BJ31" s="11">
        <v>11</v>
      </c>
      <c r="BK31" s="11"/>
      <c r="BL31" s="4">
        <v>30</v>
      </c>
      <c r="BM31" s="4">
        <v>0</v>
      </c>
      <c r="BN31" s="2">
        <v>40</v>
      </c>
      <c r="BO31" s="2">
        <v>0</v>
      </c>
      <c r="BP31" s="2">
        <v>32</v>
      </c>
      <c r="BQ31" s="2">
        <v>33</v>
      </c>
      <c r="BR31" s="2">
        <v>0</v>
      </c>
      <c r="BS31" s="2">
        <v>39</v>
      </c>
      <c r="BT31" s="2">
        <v>0</v>
      </c>
      <c r="BU31" s="2">
        <v>54</v>
      </c>
      <c r="BV31" s="2">
        <v>3</v>
      </c>
      <c r="BW31" s="2">
        <v>15</v>
      </c>
      <c r="BX31" s="2">
        <v>7</v>
      </c>
      <c r="BY31" s="2">
        <v>7</v>
      </c>
      <c r="BZ31" s="2">
        <v>37</v>
      </c>
      <c r="CB31" s="2">
        <v>3</v>
      </c>
      <c r="CC31" s="2">
        <v>0</v>
      </c>
      <c r="CD31" s="2">
        <v>0</v>
      </c>
      <c r="CE31" s="2">
        <v>0</v>
      </c>
      <c r="CF31" s="2">
        <v>0</v>
      </c>
      <c r="CH31" s="2">
        <v>36</v>
      </c>
      <c r="CI31" s="2">
        <v>0</v>
      </c>
      <c r="CJ31" s="2">
        <v>0</v>
      </c>
      <c r="CK31" s="2">
        <v>0</v>
      </c>
      <c r="CM31" s="2">
        <v>7</v>
      </c>
      <c r="CN31" s="2">
        <v>69</v>
      </c>
      <c r="CO31" s="3"/>
      <c r="CP31" s="10">
        <v>8</v>
      </c>
      <c r="CQ31" s="3">
        <v>0</v>
      </c>
      <c r="CR31" s="2">
        <v>0</v>
      </c>
      <c r="CS31" s="2">
        <v>0</v>
      </c>
      <c r="CT31" s="2">
        <v>13</v>
      </c>
      <c r="CU31" s="2">
        <v>3</v>
      </c>
      <c r="CV31" s="2">
        <v>7</v>
      </c>
      <c r="CW31" s="2">
        <v>7</v>
      </c>
      <c r="CX31" s="2">
        <v>0</v>
      </c>
      <c r="CY31" s="2">
        <v>17</v>
      </c>
      <c r="CZ31" s="2">
        <v>6</v>
      </c>
      <c r="DA31" s="2">
        <v>11</v>
      </c>
      <c r="DB31" s="2">
        <v>10</v>
      </c>
      <c r="DC31" s="2">
        <v>0</v>
      </c>
      <c r="DD31" s="2">
        <v>0</v>
      </c>
      <c r="DE31" s="2">
        <v>24</v>
      </c>
      <c r="DF31" s="2">
        <v>7</v>
      </c>
      <c r="DG31" s="4">
        <v>0</v>
      </c>
      <c r="DH31" s="11"/>
      <c r="DI31" s="4">
        <v>22</v>
      </c>
      <c r="DJ31" s="4">
        <v>0</v>
      </c>
      <c r="DK31" s="2">
        <v>46</v>
      </c>
      <c r="DL31" s="2">
        <v>0</v>
      </c>
      <c r="DM31" s="2">
        <v>26</v>
      </c>
      <c r="DN31" s="2">
        <v>30</v>
      </c>
      <c r="DO31" s="2">
        <v>0</v>
      </c>
      <c r="DP31" s="2">
        <v>0</v>
      </c>
      <c r="DQ31" s="2">
        <v>0</v>
      </c>
      <c r="DR31" s="2">
        <v>0</v>
      </c>
      <c r="DS31" s="2">
        <v>40</v>
      </c>
      <c r="DT31" s="2">
        <v>21</v>
      </c>
      <c r="DV31" s="2">
        <v>15</v>
      </c>
      <c r="DW31" s="2">
        <v>0</v>
      </c>
      <c r="DX31" s="2">
        <v>0</v>
      </c>
      <c r="DY31" s="2">
        <v>0</v>
      </c>
      <c r="DZ31" s="2">
        <v>8</v>
      </c>
      <c r="EB31" s="2">
        <v>7</v>
      </c>
      <c r="EC31" s="2">
        <v>0</v>
      </c>
      <c r="ED31" s="2">
        <v>19</v>
      </c>
      <c r="EE31" s="2">
        <v>0</v>
      </c>
      <c r="EF31" s="2">
        <v>0</v>
      </c>
      <c r="EG31" s="2">
        <v>19</v>
      </c>
      <c r="EH31" s="2">
        <v>0</v>
      </c>
      <c r="EI31" s="2">
        <v>17</v>
      </c>
      <c r="EJ31" s="2">
        <v>0</v>
      </c>
      <c r="EK31" s="2">
        <v>38</v>
      </c>
      <c r="EL31" s="2">
        <v>21</v>
      </c>
      <c r="EM31" s="2">
        <v>24</v>
      </c>
      <c r="EN31" s="2">
        <v>39</v>
      </c>
      <c r="EO31" s="2">
        <v>0</v>
      </c>
      <c r="EP31" s="2">
        <v>0</v>
      </c>
      <c r="EQ31" s="2">
        <v>0</v>
      </c>
      <c r="ER31" s="2">
        <v>0</v>
      </c>
      <c r="EV31" s="2">
        <v>0</v>
      </c>
      <c r="FD31" s="2">
        <v>34</v>
      </c>
      <c r="FE31" s="2">
        <v>85</v>
      </c>
      <c r="FK31" s="2">
        <f t="shared" si="3"/>
        <v>116</v>
      </c>
    </row>
    <row r="32" spans="1:167" ht="14.6">
      <c r="A32" s="3" t="s">
        <v>61</v>
      </c>
      <c r="B32" s="10">
        <v>27.661847000000002</v>
      </c>
      <c r="C32" s="10">
        <v>85.338456500000007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5</v>
      </c>
      <c r="T32" s="2">
        <v>3</v>
      </c>
      <c r="V32" s="2">
        <v>7</v>
      </c>
      <c r="W32" s="2">
        <v>29</v>
      </c>
      <c r="X32" s="2">
        <v>4</v>
      </c>
      <c r="Y32" s="2">
        <v>6</v>
      </c>
      <c r="Z32" s="2">
        <v>0</v>
      </c>
      <c r="AA32" s="2">
        <v>7</v>
      </c>
      <c r="AC32" s="2">
        <v>5</v>
      </c>
      <c r="AD32" s="2">
        <v>0</v>
      </c>
      <c r="AI32" s="2">
        <v>10</v>
      </c>
      <c r="AJ32" s="2">
        <v>0</v>
      </c>
      <c r="AK32" s="2">
        <v>0</v>
      </c>
      <c r="AM32" s="2">
        <v>0</v>
      </c>
      <c r="AN32" s="2">
        <v>4</v>
      </c>
      <c r="AO32" s="2">
        <v>0</v>
      </c>
      <c r="AP32" s="2">
        <v>0</v>
      </c>
      <c r="AQ32" s="2">
        <v>0</v>
      </c>
      <c r="AS32" s="2">
        <v>7</v>
      </c>
      <c r="AT32" s="2">
        <v>16</v>
      </c>
      <c r="AU32" s="2">
        <v>2</v>
      </c>
      <c r="AW32" s="2">
        <v>0</v>
      </c>
      <c r="AX32" s="2">
        <v>6</v>
      </c>
      <c r="AY32" s="2">
        <v>26</v>
      </c>
      <c r="AZ32" s="2">
        <v>0</v>
      </c>
      <c r="BB32" s="2">
        <v>33</v>
      </c>
      <c r="BC32" s="11"/>
      <c r="BD32" s="11"/>
      <c r="BE32" s="11"/>
      <c r="BF32" s="11"/>
      <c r="BG32" s="4">
        <v>52</v>
      </c>
      <c r="BH32" s="4">
        <v>0</v>
      </c>
      <c r="BI32" s="11"/>
      <c r="BJ32" s="11"/>
      <c r="BK32" s="11"/>
      <c r="BL32" s="11"/>
      <c r="BM32" s="11">
        <v>10</v>
      </c>
      <c r="BN32" s="2">
        <v>0</v>
      </c>
      <c r="BQ32" s="2">
        <v>10</v>
      </c>
      <c r="BR32" s="2">
        <v>0</v>
      </c>
      <c r="BT32" s="2">
        <v>11</v>
      </c>
      <c r="BU32" s="2">
        <v>36</v>
      </c>
      <c r="BV32" s="2">
        <v>9</v>
      </c>
      <c r="BW32" s="2">
        <v>0</v>
      </c>
      <c r="BX32" s="2">
        <v>0</v>
      </c>
      <c r="BY32" s="2">
        <v>0</v>
      </c>
      <c r="BZ32" s="2">
        <v>66</v>
      </c>
      <c r="CA32" s="2">
        <v>0</v>
      </c>
      <c r="CB32" s="2">
        <v>12</v>
      </c>
      <c r="CC32" s="2">
        <v>0</v>
      </c>
      <c r="CD32" s="2">
        <v>0</v>
      </c>
      <c r="CE32" s="2">
        <v>6</v>
      </c>
      <c r="CF32" s="2">
        <v>0</v>
      </c>
      <c r="CG32" s="2">
        <v>0</v>
      </c>
      <c r="CH32" s="2">
        <v>10</v>
      </c>
      <c r="CI32" s="2">
        <v>3</v>
      </c>
      <c r="CJ32" s="2">
        <v>3</v>
      </c>
      <c r="CK32" s="2">
        <v>8</v>
      </c>
      <c r="CL32" s="2">
        <v>6</v>
      </c>
      <c r="CM32" s="2">
        <v>0</v>
      </c>
      <c r="CN32" s="2">
        <v>32</v>
      </c>
      <c r="CO32" s="10">
        <v>0</v>
      </c>
      <c r="CP32" s="3"/>
      <c r="CQ32" s="3"/>
      <c r="CR32" s="2">
        <v>23</v>
      </c>
      <c r="CS32" s="2">
        <v>0</v>
      </c>
      <c r="CT32" s="2">
        <v>33</v>
      </c>
      <c r="CU32" s="2">
        <v>0</v>
      </c>
      <c r="CV32" s="2">
        <v>18</v>
      </c>
      <c r="CW32" s="2">
        <v>2</v>
      </c>
      <c r="CX32" s="2">
        <v>0</v>
      </c>
      <c r="CY32" s="2">
        <v>17</v>
      </c>
      <c r="CZ32" s="2">
        <v>0</v>
      </c>
      <c r="DA32" s="2">
        <v>0</v>
      </c>
      <c r="DB32" s="2">
        <v>0</v>
      </c>
      <c r="DC32" s="2">
        <v>0</v>
      </c>
      <c r="DE32" s="2">
        <v>45</v>
      </c>
      <c r="DF32" s="2">
        <v>0</v>
      </c>
      <c r="DG32" s="2">
        <v>0</v>
      </c>
      <c r="DJ32" s="2">
        <v>45</v>
      </c>
      <c r="DK32" s="2">
        <v>0</v>
      </c>
      <c r="DL32" s="30">
        <v>102</v>
      </c>
      <c r="DM32" s="31"/>
      <c r="DN32" s="31"/>
      <c r="DO32" s="2">
        <v>0</v>
      </c>
      <c r="DP32" s="2">
        <v>0</v>
      </c>
      <c r="DQ32" s="2">
        <v>0</v>
      </c>
      <c r="DS32" s="2">
        <v>22</v>
      </c>
      <c r="DZ32" s="2">
        <v>17</v>
      </c>
      <c r="EB32" s="2">
        <v>9</v>
      </c>
      <c r="FK32" s="2">
        <f t="shared" si="3"/>
        <v>84</v>
      </c>
    </row>
    <row r="33" spans="1:167" ht="14.6">
      <c r="A33" s="3" t="s">
        <v>62</v>
      </c>
      <c r="B33" s="10">
        <v>27.7127737</v>
      </c>
      <c r="C33" s="10">
        <v>85.413522299999997</v>
      </c>
      <c r="D33" s="2">
        <v>2.5</v>
      </c>
      <c r="E33" s="2">
        <v>13</v>
      </c>
      <c r="F33" s="2">
        <v>0</v>
      </c>
      <c r="G33" s="2">
        <v>18</v>
      </c>
      <c r="H33" s="2">
        <v>6</v>
      </c>
      <c r="I33" s="2">
        <v>5</v>
      </c>
      <c r="J33" s="2">
        <v>12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4</v>
      </c>
      <c r="S33" s="2"/>
      <c r="T33" s="2">
        <v>1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3"/>
      <c r="CP33" s="3"/>
      <c r="CQ33" s="3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>
        <f t="shared" si="3"/>
        <v>16</v>
      </c>
    </row>
    <row r="34" spans="1:167" ht="14.6">
      <c r="A34" s="3" t="s">
        <v>64</v>
      </c>
      <c r="B34" s="10">
        <v>27.684654255330798</v>
      </c>
      <c r="C34" s="10">
        <v>85.268363152412206</v>
      </c>
      <c r="D34" s="2"/>
      <c r="E34" s="2"/>
      <c r="F34" s="2"/>
      <c r="G34" s="2"/>
      <c r="N34" s="2"/>
      <c r="O34" s="2"/>
      <c r="AF34" s="2">
        <v>12</v>
      </c>
      <c r="AG34" s="2">
        <v>7</v>
      </c>
      <c r="AK34" s="2">
        <v>0</v>
      </c>
      <c r="AL34" s="2">
        <v>10</v>
      </c>
      <c r="AM34" s="2">
        <v>0</v>
      </c>
      <c r="AN34" s="2">
        <v>0</v>
      </c>
      <c r="AO34" s="2">
        <v>0</v>
      </c>
      <c r="AU34" s="2">
        <v>30</v>
      </c>
      <c r="AW34" s="2">
        <v>7</v>
      </c>
      <c r="AY34" s="2">
        <v>8</v>
      </c>
      <c r="AZ34" s="2">
        <v>0</v>
      </c>
      <c r="BB34" s="2">
        <v>21</v>
      </c>
      <c r="BC34" s="16"/>
      <c r="BD34" s="16"/>
      <c r="BE34" s="15">
        <v>35</v>
      </c>
      <c r="BF34" s="15">
        <v>14</v>
      </c>
      <c r="BG34" s="16"/>
      <c r="BH34" s="15">
        <v>5</v>
      </c>
      <c r="BI34" s="4">
        <v>31</v>
      </c>
      <c r="BJ34" s="11"/>
      <c r="BK34" s="11"/>
      <c r="BL34" s="4">
        <v>10</v>
      </c>
      <c r="BM34" s="11"/>
      <c r="BN34" s="2">
        <v>6</v>
      </c>
      <c r="BP34" s="2">
        <v>24</v>
      </c>
      <c r="BQ34" s="2">
        <v>24</v>
      </c>
      <c r="BS34" s="2">
        <v>8</v>
      </c>
      <c r="BU34" s="2">
        <v>55</v>
      </c>
      <c r="BW34" s="2">
        <v>5</v>
      </c>
      <c r="BY34" s="2">
        <v>14</v>
      </c>
      <c r="CA34" s="2">
        <v>7</v>
      </c>
      <c r="CB34" s="2">
        <v>24</v>
      </c>
      <c r="CI34" s="2">
        <v>10</v>
      </c>
      <c r="CN34" s="2">
        <v>33</v>
      </c>
      <c r="CO34" s="10">
        <v>13</v>
      </c>
      <c r="CP34" s="10">
        <v>0</v>
      </c>
      <c r="CQ34" s="3">
        <v>6.5</v>
      </c>
      <c r="CT34" s="2">
        <v>20</v>
      </c>
      <c r="CU34" s="2">
        <v>10</v>
      </c>
      <c r="CV34" s="2">
        <v>4</v>
      </c>
      <c r="CX34" s="2">
        <v>0</v>
      </c>
      <c r="CY34" s="2">
        <v>16</v>
      </c>
      <c r="CZ34" s="2">
        <v>10</v>
      </c>
      <c r="DB34" s="2">
        <v>4</v>
      </c>
      <c r="DC34" s="2">
        <v>5</v>
      </c>
      <c r="DD34" s="2">
        <v>0</v>
      </c>
      <c r="DE34" s="2">
        <v>11</v>
      </c>
      <c r="DH34" s="2">
        <v>5</v>
      </c>
      <c r="DI34" s="2">
        <v>0</v>
      </c>
      <c r="DJ34" s="2">
        <v>32</v>
      </c>
      <c r="DK34" s="2">
        <v>0</v>
      </c>
      <c r="DM34" s="2">
        <v>12</v>
      </c>
      <c r="DN34" s="2">
        <v>12</v>
      </c>
      <c r="DO34" s="2">
        <v>4</v>
      </c>
      <c r="DP34" s="2">
        <v>0</v>
      </c>
      <c r="DQ34" s="2">
        <v>0</v>
      </c>
      <c r="DR34" s="2">
        <v>0</v>
      </c>
      <c r="DT34" s="2">
        <v>4.5</v>
      </c>
      <c r="DU34" s="2">
        <v>0</v>
      </c>
      <c r="DV34" s="2">
        <v>0</v>
      </c>
      <c r="DX34" s="2">
        <v>0</v>
      </c>
      <c r="EK34" s="2">
        <v>31</v>
      </c>
      <c r="EL34" s="2">
        <v>17</v>
      </c>
      <c r="EM34" s="2">
        <v>24</v>
      </c>
      <c r="EN34" s="2">
        <v>0</v>
      </c>
      <c r="EO34" s="2">
        <v>5</v>
      </c>
      <c r="ER34" s="2">
        <v>0</v>
      </c>
      <c r="FA34" s="2">
        <v>20</v>
      </c>
      <c r="FD34" s="2">
        <v>27</v>
      </c>
      <c r="FE34" s="2">
        <v>89</v>
      </c>
      <c r="FK34" s="2">
        <f t="shared" si="3"/>
        <v>64</v>
      </c>
    </row>
    <row r="35" spans="1:167" ht="14.6">
      <c r="A35" s="3" t="s">
        <v>65</v>
      </c>
      <c r="B35" s="10">
        <v>27.733901500000002</v>
      </c>
      <c r="C35" s="10">
        <v>85.358922399999997</v>
      </c>
      <c r="D35" s="2">
        <v>7</v>
      </c>
      <c r="E35" s="2">
        <v>3</v>
      </c>
      <c r="F35" s="2">
        <v>0</v>
      </c>
      <c r="G35" s="2">
        <v>8</v>
      </c>
      <c r="N35" s="2">
        <v>0</v>
      </c>
      <c r="O35" s="2">
        <v>0</v>
      </c>
      <c r="AH35" s="2">
        <v>4</v>
      </c>
      <c r="AI35" s="2">
        <v>4</v>
      </c>
      <c r="AJ35" s="2">
        <v>0</v>
      </c>
      <c r="AK35" s="2">
        <v>0</v>
      </c>
      <c r="AL35" s="2">
        <v>0</v>
      </c>
      <c r="AM35" s="2">
        <v>0</v>
      </c>
      <c r="AO35" s="2">
        <v>0</v>
      </c>
      <c r="AP35" s="2">
        <v>0</v>
      </c>
      <c r="AQ35" s="2">
        <v>0</v>
      </c>
      <c r="AR35" s="2">
        <v>10</v>
      </c>
      <c r="AS35" s="2">
        <v>29</v>
      </c>
      <c r="AT35" s="2">
        <v>0</v>
      </c>
      <c r="AU35" s="2">
        <v>2</v>
      </c>
      <c r="AV35" s="2">
        <v>0</v>
      </c>
      <c r="AW35" s="2">
        <v>12</v>
      </c>
      <c r="AX35" s="2">
        <v>2</v>
      </c>
      <c r="AY35" s="2">
        <v>50</v>
      </c>
      <c r="AZ35" s="2">
        <v>2</v>
      </c>
      <c r="BA35" s="2">
        <v>13</v>
      </c>
      <c r="BB35" s="2">
        <v>85</v>
      </c>
      <c r="BC35" s="4">
        <v>5</v>
      </c>
      <c r="BD35" s="4">
        <v>2</v>
      </c>
      <c r="BE35" s="4">
        <v>48</v>
      </c>
      <c r="BF35" s="11"/>
      <c r="BG35" s="11"/>
      <c r="BH35" s="11"/>
      <c r="BI35" s="11"/>
      <c r="BJ35" s="11"/>
      <c r="BK35" s="11"/>
      <c r="BL35" s="11"/>
      <c r="BM35" s="11"/>
      <c r="CO35" s="3"/>
      <c r="CP35" s="3"/>
      <c r="CQ35" s="3"/>
      <c r="FK35" s="2">
        <f t="shared" si="3"/>
        <v>29</v>
      </c>
    </row>
    <row r="36" spans="1:167" ht="14.6">
      <c r="A36" s="3" t="s">
        <v>66</v>
      </c>
      <c r="B36" s="10">
        <v>27.703161556177001</v>
      </c>
      <c r="C36" s="10">
        <v>85.326484623329307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>
        <v>3</v>
      </c>
      <c r="AH36" s="2"/>
      <c r="AI36" s="2">
        <v>0</v>
      </c>
      <c r="AJ36" s="2">
        <v>0</v>
      </c>
      <c r="AK36" s="2">
        <v>0</v>
      </c>
      <c r="AL36" s="2">
        <v>5</v>
      </c>
      <c r="AM36" s="2">
        <v>10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36</v>
      </c>
      <c r="AU36" s="2">
        <v>3</v>
      </c>
      <c r="AV36" s="2">
        <v>0</v>
      </c>
      <c r="AW36" s="2">
        <v>13</v>
      </c>
      <c r="AX36" s="2">
        <v>7</v>
      </c>
      <c r="AY36" s="2">
        <v>37</v>
      </c>
      <c r="AZ36" s="2">
        <v>14</v>
      </c>
      <c r="BA36" s="2">
        <v>11</v>
      </c>
      <c r="BB36" s="2">
        <v>65</v>
      </c>
      <c r="BC36" s="15">
        <v>23</v>
      </c>
      <c r="BD36" s="15">
        <v>0</v>
      </c>
      <c r="BE36" s="15">
        <v>11</v>
      </c>
      <c r="BF36" s="15">
        <v>25</v>
      </c>
      <c r="BG36" s="15">
        <v>12</v>
      </c>
      <c r="BH36" s="15">
        <v>22</v>
      </c>
      <c r="BI36" s="4">
        <v>6</v>
      </c>
      <c r="BJ36" s="4">
        <v>5</v>
      </c>
      <c r="BK36" s="11"/>
      <c r="BL36" s="4">
        <v>19</v>
      </c>
      <c r="BM36" s="4">
        <v>13</v>
      </c>
      <c r="BN36" s="2">
        <v>16</v>
      </c>
      <c r="BO36" s="2">
        <v>2</v>
      </c>
      <c r="BP36" s="2">
        <v>4</v>
      </c>
      <c r="BQ36" s="2">
        <v>25</v>
      </c>
      <c r="BR36" s="2">
        <v>0</v>
      </c>
      <c r="BS36" s="2">
        <v>28</v>
      </c>
      <c r="BT36" s="2">
        <v>0</v>
      </c>
      <c r="BU36" s="2">
        <v>41</v>
      </c>
      <c r="BV36" s="2">
        <v>20</v>
      </c>
      <c r="BW36" s="2">
        <v>0</v>
      </c>
      <c r="BX36" s="2">
        <v>0</v>
      </c>
      <c r="BY36" s="2">
        <v>0</v>
      </c>
      <c r="BZ36" s="2">
        <v>14</v>
      </c>
      <c r="CA36" s="2">
        <v>18</v>
      </c>
      <c r="CB36" s="2">
        <v>12</v>
      </c>
      <c r="CC36" s="2">
        <v>0</v>
      </c>
      <c r="CD36" s="2">
        <v>0</v>
      </c>
      <c r="CE36" s="2">
        <v>0</v>
      </c>
      <c r="CF36" s="2">
        <v>9</v>
      </c>
      <c r="CG36" s="2">
        <v>0</v>
      </c>
      <c r="CH36" s="2">
        <v>15</v>
      </c>
      <c r="CI36" s="2">
        <v>0</v>
      </c>
      <c r="CJ36" s="2">
        <v>0</v>
      </c>
      <c r="CK36" s="2">
        <v>0</v>
      </c>
      <c r="CL36" s="2"/>
      <c r="CM36" s="2">
        <v>0</v>
      </c>
      <c r="CN36" s="2">
        <v>30</v>
      </c>
      <c r="CO36" s="3"/>
      <c r="CP36" s="10">
        <v>11</v>
      </c>
      <c r="CQ36" s="10">
        <v>12</v>
      </c>
      <c r="CR36" s="2">
        <v>16</v>
      </c>
      <c r="CS36" s="2">
        <v>0</v>
      </c>
      <c r="CT36" s="2">
        <v>40</v>
      </c>
      <c r="CU36" s="2">
        <v>4</v>
      </c>
      <c r="CV36" s="2">
        <v>5</v>
      </c>
      <c r="CW36" s="2">
        <v>35</v>
      </c>
      <c r="CX36" s="2">
        <v>0</v>
      </c>
      <c r="CY36" s="2"/>
      <c r="CZ36" s="2"/>
      <c r="DA36" s="2"/>
      <c r="DB36" s="2"/>
      <c r="DC36" s="2"/>
      <c r="DD36" s="2"/>
      <c r="DE36" s="2"/>
      <c r="DF36" s="2"/>
      <c r="DG36" s="2"/>
      <c r="DH36" s="2">
        <v>0</v>
      </c>
      <c r="DI36" s="2">
        <v>7</v>
      </c>
      <c r="DJ36" s="2">
        <v>12</v>
      </c>
      <c r="DK36" s="2">
        <v>0</v>
      </c>
      <c r="DL36" s="2">
        <v>0</v>
      </c>
      <c r="DM36" s="2">
        <v>21</v>
      </c>
      <c r="DN36" s="2">
        <v>46</v>
      </c>
      <c r="DO36" s="2">
        <v>0</v>
      </c>
      <c r="DP36" s="2">
        <v>0</v>
      </c>
      <c r="DQ36" s="2">
        <v>0</v>
      </c>
      <c r="DR36" s="2">
        <v>0</v>
      </c>
      <c r="DS36" s="2">
        <v>42</v>
      </c>
      <c r="DT36" s="2">
        <v>24</v>
      </c>
      <c r="DU36" s="2"/>
      <c r="DV36" s="2">
        <v>6</v>
      </c>
      <c r="DW36" s="2">
        <v>12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43</v>
      </c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>
        <f t="shared" si="3"/>
        <v>87</v>
      </c>
    </row>
    <row r="37" spans="1:167" ht="14.6">
      <c r="A37" s="3" t="s">
        <v>68</v>
      </c>
      <c r="B37" s="2">
        <v>27.6606047</v>
      </c>
      <c r="C37" s="2">
        <v>85.313719399999997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>
        <v>0</v>
      </c>
      <c r="AF37" s="2">
        <v>46</v>
      </c>
      <c r="AG37" s="2">
        <v>3</v>
      </c>
      <c r="AH37" s="2">
        <v>0</v>
      </c>
      <c r="AI37" s="2"/>
      <c r="AJ37" s="2"/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/>
      <c r="AR37" s="2"/>
      <c r="AS37" s="2">
        <v>20</v>
      </c>
      <c r="AT37" s="2">
        <v>8</v>
      </c>
      <c r="AU37" s="2">
        <v>0</v>
      </c>
      <c r="AV37" s="2">
        <v>28</v>
      </c>
      <c r="AW37" s="2">
        <v>11</v>
      </c>
      <c r="AX37" s="2">
        <v>0</v>
      </c>
      <c r="AY37" s="2">
        <v>15</v>
      </c>
      <c r="AZ37" s="2">
        <v>0</v>
      </c>
      <c r="BA37" s="2"/>
      <c r="BB37" s="2">
        <v>22</v>
      </c>
      <c r="BC37" s="4">
        <v>6</v>
      </c>
      <c r="BD37" s="11"/>
      <c r="BE37" s="4">
        <v>10</v>
      </c>
      <c r="BF37" s="4">
        <v>11</v>
      </c>
      <c r="BG37" s="11">
        <v>10</v>
      </c>
      <c r="BH37" s="11">
        <v>9</v>
      </c>
      <c r="BI37" s="11">
        <v>13</v>
      </c>
      <c r="BJ37" s="11"/>
      <c r="BK37" s="4">
        <v>7</v>
      </c>
      <c r="BL37" s="4">
        <v>6</v>
      </c>
      <c r="BM37" s="4">
        <v>3</v>
      </c>
      <c r="BN37" s="2">
        <v>11</v>
      </c>
      <c r="BO37" s="2">
        <v>0</v>
      </c>
      <c r="BP37" s="2">
        <v>7</v>
      </c>
      <c r="BQ37" s="2">
        <v>24</v>
      </c>
      <c r="BR37" s="2">
        <v>0</v>
      </c>
      <c r="BS37" s="2">
        <v>6</v>
      </c>
      <c r="BT37" s="2">
        <v>0</v>
      </c>
      <c r="BU37" s="2">
        <v>50</v>
      </c>
      <c r="BV37" s="2">
        <v>9</v>
      </c>
      <c r="BW37" s="2">
        <v>5</v>
      </c>
      <c r="BX37" s="2">
        <v>0</v>
      </c>
      <c r="BY37" s="2">
        <v>7</v>
      </c>
      <c r="BZ37" s="2">
        <v>32</v>
      </c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3"/>
      <c r="CP37" s="3"/>
      <c r="CQ37" s="3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>
        <f t="shared" si="3"/>
        <v>41</v>
      </c>
    </row>
    <row r="38" spans="1:167" ht="14.6">
      <c r="A38" s="3" t="s">
        <v>70</v>
      </c>
      <c r="B38" s="2">
        <v>27.655729999999998</v>
      </c>
      <c r="C38" s="2">
        <v>85.441063999999997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4"/>
      <c r="BD38" s="11"/>
      <c r="BE38" s="4"/>
      <c r="BF38" s="4"/>
      <c r="BG38" s="11"/>
      <c r="BH38" s="11"/>
      <c r="BI38" s="11"/>
      <c r="BJ38" s="11">
        <v>2</v>
      </c>
      <c r="BK38" s="4">
        <v>9</v>
      </c>
      <c r="BL38" s="4">
        <v>27.5</v>
      </c>
      <c r="BM38" s="4">
        <v>1.7</v>
      </c>
      <c r="BN38" s="2">
        <v>11</v>
      </c>
      <c r="BO38" s="2">
        <v>2</v>
      </c>
      <c r="BP38" s="2">
        <v>2</v>
      </c>
      <c r="BQ38" s="2">
        <v>12</v>
      </c>
      <c r="BR38" s="2">
        <v>0</v>
      </c>
      <c r="BS38" s="2">
        <v>13.25</v>
      </c>
      <c r="BT38" s="2">
        <v>0</v>
      </c>
      <c r="BU38" s="2">
        <v>32</v>
      </c>
      <c r="BV38" s="2">
        <v>17</v>
      </c>
      <c r="BW38" s="2">
        <v>11.4</v>
      </c>
      <c r="BX38" s="2">
        <v>0</v>
      </c>
      <c r="BY38" s="2">
        <v>0</v>
      </c>
      <c r="BZ38" s="2">
        <v>5.7</v>
      </c>
      <c r="CA38" s="2">
        <v>7.25</v>
      </c>
      <c r="CB38" s="2">
        <v>5</v>
      </c>
      <c r="CC38" s="2">
        <v>0</v>
      </c>
      <c r="CD38" s="2">
        <v>1.5</v>
      </c>
      <c r="CE38" s="2">
        <v>0</v>
      </c>
      <c r="CF38" s="2">
        <v>5.5</v>
      </c>
      <c r="CG38" s="2">
        <v>0</v>
      </c>
      <c r="CH38" s="2">
        <v>9</v>
      </c>
      <c r="CI38" s="2">
        <v>0</v>
      </c>
      <c r="CJ38" s="2">
        <v>1</v>
      </c>
      <c r="CK38" s="2">
        <v>0</v>
      </c>
      <c r="CL38" s="2">
        <v>0</v>
      </c>
      <c r="CM38" s="2">
        <v>4</v>
      </c>
      <c r="CN38" s="2">
        <v>23.2</v>
      </c>
      <c r="CO38" s="3">
        <v>6.8</v>
      </c>
      <c r="CP38" s="3">
        <v>1.7</v>
      </c>
      <c r="CQ38" s="3">
        <v>2.5</v>
      </c>
      <c r="CR38" s="2">
        <v>4.4000000000000004</v>
      </c>
      <c r="CS38" s="2">
        <v>2</v>
      </c>
      <c r="CT38" s="2">
        <v>51</v>
      </c>
      <c r="CU38" s="2">
        <v>0.5</v>
      </c>
      <c r="CV38" s="2">
        <v>25</v>
      </c>
      <c r="CW38" s="2">
        <v>30.5</v>
      </c>
      <c r="CX38" s="2">
        <v>0</v>
      </c>
      <c r="CY38" s="2">
        <v>13</v>
      </c>
      <c r="CZ38" s="2">
        <v>1</v>
      </c>
      <c r="DA38" s="2">
        <v>1</v>
      </c>
      <c r="DB38" s="2">
        <v>1</v>
      </c>
      <c r="DC38" s="2">
        <v>1.5</v>
      </c>
      <c r="DD38" s="2">
        <v>3</v>
      </c>
      <c r="DE38" s="2">
        <v>2</v>
      </c>
      <c r="DF38" s="2">
        <v>6</v>
      </c>
      <c r="DG38" s="2">
        <v>17</v>
      </c>
      <c r="DH38" s="2">
        <v>12.5</v>
      </c>
      <c r="DI38" s="2">
        <v>6</v>
      </c>
      <c r="DJ38" s="2"/>
      <c r="DK38" s="2"/>
      <c r="DL38" s="2"/>
      <c r="DM38" s="2"/>
      <c r="DN38" s="2">
        <v>50</v>
      </c>
      <c r="DO38" s="2">
        <v>2</v>
      </c>
      <c r="DP38" s="2">
        <v>0</v>
      </c>
      <c r="DQ38" s="2"/>
      <c r="DR38" s="2">
        <v>2</v>
      </c>
      <c r="DS38" s="2">
        <v>77.5</v>
      </c>
      <c r="DT38" s="2">
        <v>4</v>
      </c>
      <c r="DU38" s="2">
        <v>15.5</v>
      </c>
      <c r="DV38" s="2">
        <v>26.25</v>
      </c>
      <c r="DW38" s="2">
        <v>12.5</v>
      </c>
      <c r="DX38" s="2">
        <v>0</v>
      </c>
      <c r="DY38" s="2">
        <v>0</v>
      </c>
      <c r="DZ38" s="2">
        <v>0</v>
      </c>
      <c r="EA38" s="2">
        <v>0</v>
      </c>
      <c r="EB38" s="2">
        <v>2</v>
      </c>
      <c r="EC38" s="2">
        <v>0</v>
      </c>
      <c r="ED38" s="2">
        <v>0</v>
      </c>
      <c r="EE38" s="2">
        <v>0</v>
      </c>
      <c r="EF38" s="2">
        <v>0</v>
      </c>
      <c r="EG38" s="2">
        <v>2.5</v>
      </c>
      <c r="EH38" s="2">
        <v>3.5</v>
      </c>
      <c r="EI38" s="2">
        <v>0</v>
      </c>
      <c r="EJ38" s="2">
        <v>14</v>
      </c>
      <c r="EK38" s="2">
        <v>0</v>
      </c>
      <c r="EL38" s="2">
        <v>6.25</v>
      </c>
      <c r="EM38" s="2">
        <v>15</v>
      </c>
      <c r="EN38" s="2">
        <v>14</v>
      </c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>
        <f t="shared" si="3"/>
        <v>78</v>
      </c>
    </row>
    <row r="39" spans="1:167" ht="14.6">
      <c r="A39" s="3" t="s">
        <v>72</v>
      </c>
      <c r="B39" s="10">
        <v>27.6790193</v>
      </c>
      <c r="C39" s="10">
        <v>85.367556500000006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>
        <v>9</v>
      </c>
      <c r="AD39" s="2">
        <v>0</v>
      </c>
      <c r="AE39" s="2"/>
      <c r="AF39" s="2">
        <v>43</v>
      </c>
      <c r="AG39" s="2"/>
      <c r="AH39" s="2">
        <v>9</v>
      </c>
      <c r="AI39" s="2">
        <v>5</v>
      </c>
      <c r="AJ39" s="2">
        <v>2</v>
      </c>
      <c r="AK39" s="2">
        <v>0</v>
      </c>
      <c r="AL39" s="2">
        <v>0</v>
      </c>
      <c r="AM39" s="2">
        <v>0</v>
      </c>
      <c r="AN39" s="2"/>
      <c r="AO39" s="2">
        <v>0</v>
      </c>
      <c r="AP39" s="2">
        <v>0</v>
      </c>
      <c r="AQ39" s="2">
        <v>0</v>
      </c>
      <c r="AR39" s="2">
        <v>0</v>
      </c>
      <c r="AS39" s="2">
        <v>12</v>
      </c>
      <c r="AT39" s="2">
        <v>11</v>
      </c>
      <c r="AU39" s="2">
        <v>3</v>
      </c>
      <c r="AV39" s="2">
        <v>34</v>
      </c>
      <c r="AW39" s="2">
        <v>8</v>
      </c>
      <c r="AX39" s="2">
        <v>11</v>
      </c>
      <c r="AY39" s="2">
        <v>42</v>
      </c>
      <c r="AZ39" s="2">
        <v>0</v>
      </c>
      <c r="BA39" s="2">
        <v>14</v>
      </c>
      <c r="BB39" s="2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2"/>
      <c r="BO39" s="2"/>
      <c r="BP39" s="2">
        <v>0</v>
      </c>
      <c r="BQ39" s="2">
        <v>11</v>
      </c>
      <c r="BR39" s="2">
        <v>0</v>
      </c>
      <c r="BS39" s="2">
        <v>11</v>
      </c>
      <c r="BT39" s="2">
        <v>0</v>
      </c>
      <c r="BU39" s="2">
        <v>72</v>
      </c>
      <c r="BV39" s="2">
        <v>11</v>
      </c>
      <c r="BW39" s="2">
        <v>9</v>
      </c>
      <c r="BX39" s="2">
        <v>0</v>
      </c>
      <c r="BY39" s="2">
        <v>12</v>
      </c>
      <c r="BZ39" s="2">
        <v>29</v>
      </c>
      <c r="CA39" s="2">
        <v>4</v>
      </c>
      <c r="CB39" s="2">
        <v>2</v>
      </c>
      <c r="CC39" s="2">
        <v>0</v>
      </c>
      <c r="CD39" s="2"/>
      <c r="CE39" s="2">
        <v>0</v>
      </c>
      <c r="CF39" s="2">
        <v>4</v>
      </c>
      <c r="CG39" s="2">
        <v>0</v>
      </c>
      <c r="CH39" s="2">
        <v>0</v>
      </c>
      <c r="CI39" s="2">
        <v>0</v>
      </c>
      <c r="CJ39" s="2">
        <v>42</v>
      </c>
      <c r="CK39" s="2">
        <v>0</v>
      </c>
      <c r="CL39" s="2">
        <v>0</v>
      </c>
      <c r="CM39" s="2">
        <v>0</v>
      </c>
      <c r="CN39" s="2">
        <v>23</v>
      </c>
      <c r="CO39" s="10">
        <v>6</v>
      </c>
      <c r="CP39" s="10">
        <v>0</v>
      </c>
      <c r="CQ39" s="3">
        <v>5</v>
      </c>
      <c r="CR39" s="2">
        <v>3</v>
      </c>
      <c r="CS39" s="2">
        <v>0</v>
      </c>
      <c r="CT39" s="2">
        <v>52</v>
      </c>
      <c r="CU39" s="2">
        <v>39</v>
      </c>
      <c r="CV39" s="2">
        <v>12</v>
      </c>
      <c r="CW39" s="2">
        <v>0</v>
      </c>
      <c r="CX39" s="2">
        <v>0</v>
      </c>
      <c r="CY39" s="2">
        <v>4</v>
      </c>
      <c r="CZ39" s="2">
        <v>0</v>
      </c>
      <c r="DA39" s="2">
        <v>0</v>
      </c>
      <c r="DB39" s="2">
        <v>7</v>
      </c>
      <c r="DC39" s="2">
        <v>0</v>
      </c>
      <c r="DD39" s="2">
        <v>36</v>
      </c>
      <c r="DE39" s="2">
        <v>18</v>
      </c>
      <c r="DF39" s="2">
        <v>0</v>
      </c>
      <c r="DG39" s="2"/>
      <c r="DH39" s="2"/>
      <c r="DI39" s="2">
        <v>18</v>
      </c>
      <c r="DJ39" s="2"/>
      <c r="DK39" s="2"/>
      <c r="DL39" s="2">
        <v>21</v>
      </c>
      <c r="DM39" s="2"/>
      <c r="DN39" s="2">
        <v>30</v>
      </c>
      <c r="DO39" s="2"/>
      <c r="DP39" s="2"/>
      <c r="DQ39" s="2"/>
      <c r="DR39" s="2"/>
      <c r="DS39" s="2">
        <v>42</v>
      </c>
      <c r="DT39" s="2"/>
      <c r="DU39" s="2">
        <v>1</v>
      </c>
      <c r="DV39" s="2">
        <v>18</v>
      </c>
      <c r="DW39" s="2"/>
      <c r="DX39" s="2">
        <v>0</v>
      </c>
      <c r="DY39" s="2">
        <v>0</v>
      </c>
      <c r="DZ39" s="2">
        <v>0</v>
      </c>
      <c r="EA39" s="2">
        <v>8</v>
      </c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>
        <f t="shared" si="3"/>
        <v>74</v>
      </c>
    </row>
    <row r="40" spans="1:167" ht="14.6">
      <c r="A40" s="3" t="s">
        <v>74</v>
      </c>
      <c r="B40" s="10">
        <v>27.671954400000001</v>
      </c>
      <c r="C40" s="10">
        <v>85.402148199999999</v>
      </c>
      <c r="D40" s="2">
        <v>4</v>
      </c>
      <c r="E40" s="2">
        <v>3</v>
      </c>
      <c r="F40" s="2">
        <v>3</v>
      </c>
      <c r="G40" s="2">
        <v>20</v>
      </c>
      <c r="H40" s="2">
        <v>0</v>
      </c>
      <c r="I40" s="2">
        <v>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/>
      <c r="Q40" s="2"/>
      <c r="R40" s="2">
        <v>0</v>
      </c>
      <c r="S40" s="2">
        <v>2.5</v>
      </c>
      <c r="T40" s="2">
        <v>17</v>
      </c>
      <c r="U40" s="2">
        <v>19</v>
      </c>
      <c r="V40" s="2">
        <v>1</v>
      </c>
      <c r="W40" s="2">
        <v>19</v>
      </c>
      <c r="X40" s="2">
        <v>7</v>
      </c>
      <c r="Y40" s="2">
        <v>0</v>
      </c>
      <c r="Z40" s="2">
        <v>0</v>
      </c>
      <c r="AA40" s="2">
        <v>26</v>
      </c>
      <c r="AB40" s="2">
        <v>0</v>
      </c>
      <c r="AC40" s="2">
        <v>4</v>
      </c>
      <c r="AD40" s="2">
        <v>0</v>
      </c>
      <c r="AE40" s="2"/>
      <c r="AF40" s="2">
        <v>13</v>
      </c>
      <c r="AG40" s="2">
        <v>7</v>
      </c>
      <c r="AH40" s="2">
        <v>2</v>
      </c>
      <c r="AI40" s="2">
        <v>0</v>
      </c>
      <c r="AJ40" s="2">
        <v>0</v>
      </c>
      <c r="AK40" s="2">
        <v>0</v>
      </c>
      <c r="AL40" s="2">
        <v>5</v>
      </c>
      <c r="AM40" s="2">
        <v>3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5</v>
      </c>
      <c r="AT40" s="2">
        <v>29</v>
      </c>
      <c r="AU40" s="2">
        <v>23</v>
      </c>
      <c r="AV40" s="2">
        <v>0</v>
      </c>
      <c r="AW40" s="2">
        <v>5</v>
      </c>
      <c r="AX40" s="2">
        <v>34</v>
      </c>
      <c r="AY40" s="2">
        <v>6</v>
      </c>
      <c r="AZ40" s="2">
        <v>0</v>
      </c>
      <c r="BA40" s="2">
        <v>12</v>
      </c>
      <c r="BB40" s="2"/>
      <c r="BC40" s="4">
        <v>5</v>
      </c>
      <c r="BD40" s="4">
        <v>0</v>
      </c>
      <c r="BE40" s="11">
        <v>14</v>
      </c>
      <c r="BF40" s="11">
        <v>33</v>
      </c>
      <c r="BG40" s="11">
        <v>16</v>
      </c>
      <c r="BH40" s="11">
        <v>14</v>
      </c>
      <c r="BI40" s="4">
        <v>4</v>
      </c>
      <c r="BJ40" s="11">
        <v>0</v>
      </c>
      <c r="BK40" s="11">
        <v>0</v>
      </c>
      <c r="BL40" s="32">
        <v>25</v>
      </c>
      <c r="BM40" s="31"/>
      <c r="BN40" s="2">
        <v>9</v>
      </c>
      <c r="BO40" s="2">
        <v>2</v>
      </c>
      <c r="BP40" s="2">
        <v>0</v>
      </c>
      <c r="BQ40" s="2">
        <v>0</v>
      </c>
      <c r="BR40" s="2">
        <v>6</v>
      </c>
      <c r="BS40" s="2">
        <v>14</v>
      </c>
      <c r="BT40" s="2">
        <v>19</v>
      </c>
      <c r="BU40" s="2">
        <v>42</v>
      </c>
      <c r="BV40" s="2">
        <v>50</v>
      </c>
      <c r="BW40" s="2">
        <v>0</v>
      </c>
      <c r="BX40" s="2">
        <v>0</v>
      </c>
      <c r="BY40" s="2">
        <v>6</v>
      </c>
      <c r="BZ40" s="2">
        <v>5</v>
      </c>
      <c r="CA40" s="2">
        <v>6.5</v>
      </c>
      <c r="CB40" s="2">
        <v>0</v>
      </c>
      <c r="CC40" s="2">
        <v>7</v>
      </c>
      <c r="CD40" s="2">
        <v>0</v>
      </c>
      <c r="CE40" s="2">
        <v>0</v>
      </c>
      <c r="CF40" s="2">
        <v>0</v>
      </c>
      <c r="CG40" s="2">
        <v>3</v>
      </c>
      <c r="CH40" s="2">
        <v>9</v>
      </c>
      <c r="CI40" s="2">
        <v>0</v>
      </c>
      <c r="CJ40" s="2">
        <v>0</v>
      </c>
      <c r="CK40" s="2">
        <v>0</v>
      </c>
      <c r="CL40" s="2">
        <v>1</v>
      </c>
      <c r="CM40" s="2">
        <v>0</v>
      </c>
      <c r="CN40" s="2">
        <v>30</v>
      </c>
      <c r="CO40" s="10">
        <v>2</v>
      </c>
      <c r="CP40" s="10">
        <v>1</v>
      </c>
      <c r="CQ40" s="2">
        <v>0</v>
      </c>
      <c r="CR40" s="2">
        <v>27</v>
      </c>
      <c r="CS40" s="2">
        <v>6</v>
      </c>
      <c r="CT40" s="2">
        <v>65</v>
      </c>
      <c r="CU40" s="2">
        <v>18</v>
      </c>
      <c r="CV40" s="2">
        <v>16</v>
      </c>
      <c r="CW40" s="2">
        <v>1</v>
      </c>
      <c r="CX40" s="2">
        <v>0</v>
      </c>
      <c r="CY40" s="2">
        <v>8</v>
      </c>
      <c r="CZ40" s="2">
        <v>3</v>
      </c>
      <c r="DA40" s="2">
        <v>0</v>
      </c>
      <c r="DB40" s="2">
        <v>3</v>
      </c>
      <c r="DC40" s="2">
        <v>0</v>
      </c>
      <c r="DD40" s="2">
        <v>9</v>
      </c>
      <c r="DE40" s="30">
        <v>25</v>
      </c>
      <c r="DF40" s="31"/>
      <c r="DG40" s="31"/>
      <c r="DH40" s="31"/>
      <c r="DI40" s="2">
        <v>8</v>
      </c>
      <c r="DJ40" s="2">
        <v>5</v>
      </c>
      <c r="DK40" s="2">
        <v>8</v>
      </c>
      <c r="DL40" s="2">
        <v>52</v>
      </c>
      <c r="DM40" s="2">
        <v>44</v>
      </c>
      <c r="DN40" s="2">
        <v>8</v>
      </c>
      <c r="DO40" s="2">
        <v>0</v>
      </c>
      <c r="DP40" s="2">
        <v>0</v>
      </c>
      <c r="DQ40" s="2">
        <v>0</v>
      </c>
      <c r="DR40" s="2">
        <v>32</v>
      </c>
      <c r="DS40" s="2">
        <v>35</v>
      </c>
      <c r="DT40" s="2">
        <v>14</v>
      </c>
      <c r="DU40" s="2">
        <v>0</v>
      </c>
      <c r="DV40" s="2">
        <v>28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43</v>
      </c>
      <c r="EC40" s="2">
        <v>8</v>
      </c>
      <c r="ED40" s="2">
        <v>1.5</v>
      </c>
      <c r="EE40" s="2">
        <v>3.5</v>
      </c>
      <c r="EF40" s="2">
        <v>0</v>
      </c>
      <c r="EG40" s="2">
        <v>4</v>
      </c>
      <c r="EH40" s="2">
        <v>5.5</v>
      </c>
      <c r="EI40" s="2">
        <v>0</v>
      </c>
      <c r="EJ40" s="2">
        <v>0</v>
      </c>
      <c r="EK40" s="2">
        <v>10</v>
      </c>
      <c r="EL40" s="2">
        <v>17</v>
      </c>
      <c r="EM40" s="2">
        <v>1</v>
      </c>
      <c r="EN40" s="2">
        <v>14.5</v>
      </c>
      <c r="EO40" s="2">
        <v>2</v>
      </c>
      <c r="EP40" s="2">
        <v>0</v>
      </c>
      <c r="EQ40" s="2">
        <v>1</v>
      </c>
      <c r="ER40" s="2">
        <v>4</v>
      </c>
      <c r="ES40" s="2"/>
      <c r="ET40" s="2"/>
      <c r="EU40" s="2"/>
      <c r="EV40" s="2"/>
      <c r="EW40" s="2">
        <v>24</v>
      </c>
      <c r="EX40" s="2">
        <v>6</v>
      </c>
      <c r="EY40" s="2">
        <v>12</v>
      </c>
      <c r="EZ40" s="2"/>
      <c r="FA40" s="2"/>
      <c r="FB40" s="2"/>
      <c r="FC40" s="2"/>
      <c r="FD40" s="2">
        <v>114</v>
      </c>
      <c r="FE40" s="2"/>
      <c r="FF40" s="2"/>
      <c r="FG40" s="2"/>
      <c r="FH40" s="2"/>
      <c r="FI40" s="2"/>
      <c r="FJ40" s="2"/>
      <c r="FK40" s="2">
        <f t="shared" si="3"/>
        <v>140</v>
      </c>
    </row>
    <row r="41" spans="1:167" ht="14.6">
      <c r="A41" s="3" t="s">
        <v>76</v>
      </c>
      <c r="B41" s="10">
        <v>27.716457299999998</v>
      </c>
      <c r="C41" s="10">
        <v>85.359559200000007</v>
      </c>
      <c r="D41" s="2">
        <v>6</v>
      </c>
      <c r="F41" s="2">
        <v>0</v>
      </c>
      <c r="AF41" s="2">
        <v>110</v>
      </c>
      <c r="AG41" s="2">
        <v>6</v>
      </c>
      <c r="AH41" s="2">
        <v>3</v>
      </c>
      <c r="AI41" s="2">
        <v>5</v>
      </c>
      <c r="AJ41" s="2">
        <v>0</v>
      </c>
      <c r="AK41" s="2">
        <v>0</v>
      </c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CO41" s="3"/>
      <c r="CP41" s="3"/>
      <c r="CQ41" s="3"/>
      <c r="FK41" s="2">
        <f t="shared" si="3"/>
        <v>8</v>
      </c>
    </row>
    <row r="42" spans="1:167" ht="14.6">
      <c r="A42" s="3" t="s">
        <v>78</v>
      </c>
      <c r="B42" s="10">
        <v>27.791175549999998</v>
      </c>
      <c r="C42" s="10">
        <v>85.421049449999998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11"/>
      <c r="BD42" s="11"/>
      <c r="BE42" s="11"/>
      <c r="BF42" s="11"/>
      <c r="BG42" s="11"/>
      <c r="BH42" s="11"/>
      <c r="BI42" s="11"/>
      <c r="BJ42" s="11">
        <v>0</v>
      </c>
      <c r="BK42" s="4">
        <v>63</v>
      </c>
      <c r="BL42" s="4">
        <v>8</v>
      </c>
      <c r="BM42" s="11">
        <v>9</v>
      </c>
      <c r="BN42" s="2">
        <v>24</v>
      </c>
      <c r="BO42" s="2">
        <v>43</v>
      </c>
      <c r="BQ42" s="2">
        <v>36</v>
      </c>
      <c r="BR42" s="2">
        <v>3</v>
      </c>
      <c r="BS42" s="2">
        <v>11</v>
      </c>
      <c r="BT42" s="2">
        <v>10</v>
      </c>
      <c r="BU42" s="2">
        <v>40</v>
      </c>
      <c r="BW42" s="2">
        <v>44</v>
      </c>
      <c r="BX42" s="2">
        <v>0</v>
      </c>
      <c r="BY42" s="2">
        <v>40</v>
      </c>
      <c r="BZ42" s="2">
        <v>15</v>
      </c>
      <c r="CA42" s="2">
        <v>26</v>
      </c>
      <c r="CC42" s="2">
        <v>5</v>
      </c>
      <c r="CD42" s="2">
        <v>8</v>
      </c>
      <c r="CE42" s="2">
        <v>4</v>
      </c>
      <c r="CF42" s="2">
        <v>8</v>
      </c>
      <c r="CG42" s="2">
        <v>24</v>
      </c>
      <c r="CH42" s="2">
        <v>23</v>
      </c>
      <c r="CI42" s="2">
        <v>20</v>
      </c>
      <c r="CJ42" s="2">
        <v>0</v>
      </c>
      <c r="CL42" s="2">
        <v>20</v>
      </c>
      <c r="CM42" s="2">
        <v>2</v>
      </c>
      <c r="CN42" s="2">
        <v>66</v>
      </c>
      <c r="CO42" s="3"/>
      <c r="CP42" s="3">
        <v>44</v>
      </c>
      <c r="CQ42" s="3">
        <v>12</v>
      </c>
      <c r="CR42" s="2">
        <v>5</v>
      </c>
      <c r="CS42" s="2">
        <v>7</v>
      </c>
      <c r="CT42" s="2">
        <v>20</v>
      </c>
      <c r="CU42" s="2">
        <v>35</v>
      </c>
      <c r="CV42" s="2">
        <v>15</v>
      </c>
      <c r="CX42" s="2">
        <v>9</v>
      </c>
      <c r="CY42" s="2">
        <v>12</v>
      </c>
      <c r="DB42" s="2">
        <v>36</v>
      </c>
      <c r="DC42" s="2">
        <v>0</v>
      </c>
      <c r="DD42" s="2">
        <v>35</v>
      </c>
      <c r="DE42" s="2">
        <v>14</v>
      </c>
      <c r="DG42" s="2">
        <v>112</v>
      </c>
      <c r="DH42" s="2">
        <v>74</v>
      </c>
      <c r="DI42" s="2">
        <v>15</v>
      </c>
      <c r="DJ42" s="2">
        <v>50</v>
      </c>
      <c r="DK42" s="2">
        <v>37</v>
      </c>
      <c r="DL42" s="2">
        <v>40</v>
      </c>
      <c r="DM42" s="2">
        <v>65</v>
      </c>
      <c r="DN42" s="2">
        <v>65</v>
      </c>
      <c r="DZ42" s="2">
        <v>21</v>
      </c>
      <c r="FK42" s="2">
        <f t="shared" si="3"/>
        <v>49</v>
      </c>
    </row>
    <row r="43" spans="1:167" ht="14.6">
      <c r="A43" s="3" t="s">
        <v>80</v>
      </c>
      <c r="B43" s="10">
        <v>27.653804399999999</v>
      </c>
      <c r="C43" s="10">
        <v>85.3444839</v>
      </c>
      <c r="T43" s="2">
        <v>0</v>
      </c>
      <c r="U43" s="2">
        <v>7</v>
      </c>
      <c r="V43" s="2">
        <v>0</v>
      </c>
      <c r="W43" s="2">
        <v>29</v>
      </c>
      <c r="X43" s="2">
        <v>2</v>
      </c>
      <c r="Y43" s="2">
        <v>5</v>
      </c>
      <c r="Z43" s="2">
        <v>5</v>
      </c>
      <c r="AA43" s="2">
        <v>8</v>
      </c>
      <c r="AB43" s="2">
        <v>0</v>
      </c>
      <c r="AC43" s="2">
        <v>3</v>
      </c>
      <c r="AD43" s="2">
        <v>0</v>
      </c>
      <c r="AE43" s="2">
        <v>0</v>
      </c>
      <c r="AF43" s="2">
        <v>2</v>
      </c>
      <c r="AG43" s="2">
        <v>3</v>
      </c>
      <c r="AH43" s="2">
        <v>2</v>
      </c>
      <c r="AI43" s="2">
        <v>0</v>
      </c>
      <c r="AJ43" s="2">
        <v>0</v>
      </c>
      <c r="AK43" s="2">
        <v>0</v>
      </c>
      <c r="AL43" s="2">
        <v>0</v>
      </c>
      <c r="AM43" s="2">
        <v>2</v>
      </c>
      <c r="AN43" s="2">
        <v>6</v>
      </c>
      <c r="AO43" s="2">
        <v>0</v>
      </c>
      <c r="AP43" s="2">
        <v>0</v>
      </c>
      <c r="AQ43" s="2">
        <v>0</v>
      </c>
      <c r="AS43" s="2">
        <v>3</v>
      </c>
      <c r="AT43" s="2">
        <v>11</v>
      </c>
      <c r="AU43" s="2">
        <v>0</v>
      </c>
      <c r="AV43" s="2">
        <v>2</v>
      </c>
      <c r="AW43" s="2">
        <v>6</v>
      </c>
      <c r="AX43" s="2">
        <v>0</v>
      </c>
      <c r="AY43" s="2">
        <v>26</v>
      </c>
      <c r="AZ43" s="2">
        <v>1</v>
      </c>
      <c r="BA43" s="2">
        <v>0</v>
      </c>
      <c r="BB43" s="2">
        <v>30</v>
      </c>
      <c r="BC43" s="15">
        <v>10</v>
      </c>
      <c r="BD43" s="15">
        <v>1</v>
      </c>
      <c r="BE43" s="15">
        <v>20</v>
      </c>
      <c r="BF43" s="4">
        <v>12</v>
      </c>
      <c r="BG43" s="11"/>
      <c r="BH43" s="11"/>
      <c r="BI43" s="4">
        <v>4</v>
      </c>
      <c r="BJ43" s="11">
        <v>0</v>
      </c>
      <c r="BK43" s="11">
        <v>5</v>
      </c>
      <c r="BL43" s="4">
        <v>6</v>
      </c>
      <c r="BM43" s="4">
        <v>2</v>
      </c>
      <c r="BN43" s="30">
        <v>4</v>
      </c>
      <c r="BO43" s="31"/>
      <c r="BP43" s="2">
        <v>4</v>
      </c>
      <c r="BQ43" s="2">
        <v>11</v>
      </c>
      <c r="BR43" s="2">
        <v>2</v>
      </c>
      <c r="BS43" s="2">
        <v>10</v>
      </c>
      <c r="BT43" s="2">
        <v>0</v>
      </c>
      <c r="BU43" s="2">
        <v>60</v>
      </c>
      <c r="BV43" s="2">
        <v>5</v>
      </c>
      <c r="BW43" s="2">
        <v>5</v>
      </c>
      <c r="BX43" s="2">
        <v>0</v>
      </c>
      <c r="BY43" s="2">
        <v>0</v>
      </c>
      <c r="BZ43" s="2">
        <v>35</v>
      </c>
      <c r="CA43" s="30">
        <v>9</v>
      </c>
      <c r="CB43" s="31"/>
      <c r="CC43" s="2">
        <v>0</v>
      </c>
      <c r="CD43" s="2">
        <v>8</v>
      </c>
      <c r="CE43" s="2">
        <v>0</v>
      </c>
      <c r="CF43" s="2">
        <v>3</v>
      </c>
      <c r="CG43" s="2">
        <v>0</v>
      </c>
      <c r="CH43" s="2">
        <v>4</v>
      </c>
      <c r="CI43" s="2">
        <v>0</v>
      </c>
      <c r="CJ43" s="2">
        <v>2</v>
      </c>
      <c r="CK43" s="2">
        <v>6</v>
      </c>
      <c r="CL43" s="2">
        <v>20</v>
      </c>
      <c r="CM43" s="2">
        <v>0</v>
      </c>
      <c r="CN43" s="2">
        <v>33</v>
      </c>
      <c r="CO43" s="10">
        <v>11</v>
      </c>
      <c r="CP43" s="3">
        <v>0</v>
      </c>
      <c r="CQ43" s="3">
        <v>5</v>
      </c>
      <c r="CR43" s="2">
        <v>6</v>
      </c>
      <c r="CS43" s="2">
        <v>2</v>
      </c>
      <c r="CT43" s="2">
        <v>34</v>
      </c>
      <c r="CU43" s="30">
        <v>18</v>
      </c>
      <c r="CV43" s="31"/>
      <c r="CW43" s="2">
        <v>5</v>
      </c>
      <c r="CX43" s="2">
        <v>0</v>
      </c>
      <c r="CY43" s="2">
        <v>20</v>
      </c>
      <c r="CZ43" s="2">
        <v>3</v>
      </c>
      <c r="DA43" s="2">
        <v>0</v>
      </c>
      <c r="DB43" s="2">
        <v>2</v>
      </c>
      <c r="DC43" s="2">
        <v>1</v>
      </c>
      <c r="DD43" s="2">
        <v>4</v>
      </c>
      <c r="DE43" s="2">
        <v>14</v>
      </c>
      <c r="DF43" s="2">
        <v>23</v>
      </c>
      <c r="DG43" s="2">
        <v>1</v>
      </c>
      <c r="DH43" s="2">
        <v>11</v>
      </c>
      <c r="DI43" s="2">
        <v>8</v>
      </c>
      <c r="DJ43" s="2">
        <v>14</v>
      </c>
      <c r="DK43" s="2">
        <v>5</v>
      </c>
      <c r="DL43" s="2">
        <v>0</v>
      </c>
      <c r="DM43" s="2">
        <v>20</v>
      </c>
      <c r="DN43" s="2">
        <v>34</v>
      </c>
      <c r="DO43" s="2">
        <v>0</v>
      </c>
      <c r="DP43" s="2">
        <v>0</v>
      </c>
      <c r="DQ43" s="2">
        <v>0</v>
      </c>
      <c r="DR43" s="2">
        <v>0</v>
      </c>
      <c r="DS43" s="2">
        <v>26</v>
      </c>
      <c r="DT43" s="2">
        <v>7</v>
      </c>
      <c r="DU43" s="2">
        <v>2</v>
      </c>
      <c r="DV43" s="2">
        <v>0</v>
      </c>
      <c r="DW43" s="2">
        <v>0</v>
      </c>
      <c r="DX43" s="2">
        <v>0</v>
      </c>
      <c r="DY43" s="2">
        <v>0</v>
      </c>
      <c r="DZ43" s="2">
        <v>3</v>
      </c>
      <c r="EA43" s="2">
        <v>0</v>
      </c>
      <c r="EB43" s="2">
        <v>0</v>
      </c>
      <c r="EC43" s="2">
        <v>0</v>
      </c>
      <c r="ED43" s="2">
        <v>3</v>
      </c>
      <c r="EE43" s="2">
        <v>0</v>
      </c>
      <c r="EF43" s="2">
        <v>0</v>
      </c>
      <c r="EG43" s="2">
        <v>0</v>
      </c>
      <c r="EH43" s="2">
        <v>2</v>
      </c>
      <c r="EI43" s="2">
        <v>4</v>
      </c>
      <c r="EJ43" s="2">
        <v>0</v>
      </c>
      <c r="EM43" s="2">
        <v>32</v>
      </c>
      <c r="EN43" s="2">
        <v>14</v>
      </c>
      <c r="EO43" s="2">
        <v>3</v>
      </c>
      <c r="ES43" s="2">
        <v>2</v>
      </c>
      <c r="ET43" s="2">
        <v>14</v>
      </c>
      <c r="EV43" s="2">
        <v>0</v>
      </c>
      <c r="EW43" s="2">
        <v>5</v>
      </c>
      <c r="FA43" s="2">
        <v>2</v>
      </c>
      <c r="FB43" s="30">
        <v>68</v>
      </c>
      <c r="FC43" s="31"/>
      <c r="FD43" s="31"/>
      <c r="FE43" s="2">
        <v>79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f>COUNT(D43:FJ43)</f>
        <v>130</v>
      </c>
    </row>
    <row r="44" spans="1:167" ht="14.6">
      <c r="A44" s="3" t="s">
        <v>81</v>
      </c>
      <c r="B44" s="10">
        <v>27.679802500000001</v>
      </c>
      <c r="C44" s="10">
        <v>85.445396299999999</v>
      </c>
      <c r="D44" s="2"/>
      <c r="E44" s="2">
        <v>0</v>
      </c>
      <c r="F44" s="2">
        <v>11</v>
      </c>
      <c r="G44" s="2"/>
      <c r="H44" s="2">
        <v>18</v>
      </c>
      <c r="I44" s="2">
        <v>5</v>
      </c>
      <c r="J44" s="2">
        <v>15</v>
      </c>
      <c r="K44" s="2"/>
      <c r="L44" s="2">
        <v>0</v>
      </c>
      <c r="M44" s="2">
        <v>0</v>
      </c>
      <c r="N44" s="2"/>
      <c r="O44" s="2">
        <v>0</v>
      </c>
      <c r="P44" s="2"/>
      <c r="Q44" s="2"/>
      <c r="R44" s="2"/>
      <c r="S44" s="2"/>
      <c r="T44" s="2">
        <v>17</v>
      </c>
      <c r="U44" s="2">
        <v>2</v>
      </c>
      <c r="V44" s="2">
        <v>2</v>
      </c>
      <c r="W44" s="2">
        <v>18</v>
      </c>
      <c r="X44" s="2">
        <v>4</v>
      </c>
      <c r="Y44" s="2">
        <v>8</v>
      </c>
      <c r="Z44" s="2">
        <v>0</v>
      </c>
      <c r="AA44" s="2">
        <v>20</v>
      </c>
      <c r="AB44" s="2"/>
      <c r="AC44" s="2"/>
      <c r="AD44" s="2"/>
      <c r="AE44" s="2"/>
      <c r="AF44" s="2"/>
      <c r="AG44" s="2">
        <v>5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3"/>
      <c r="CP44" s="3"/>
      <c r="CQ44" s="3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>
        <f t="shared" ref="FK44:FK48" si="4">COUNT(D44:FI44)</f>
        <v>17</v>
      </c>
    </row>
    <row r="45" spans="1:167" ht="14.6">
      <c r="A45" s="3" t="s">
        <v>83</v>
      </c>
      <c r="B45" s="10">
        <v>27.676252999999999</v>
      </c>
      <c r="C45" s="10">
        <v>85.389205599999997</v>
      </c>
      <c r="D45" s="2"/>
      <c r="E45" s="2"/>
      <c r="F45" s="2">
        <v>4</v>
      </c>
      <c r="G45" s="2">
        <v>21</v>
      </c>
      <c r="H45" s="2"/>
      <c r="I45" s="2">
        <v>6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>
        <v>22</v>
      </c>
      <c r="V45" s="2"/>
      <c r="W45" s="2">
        <v>15</v>
      </c>
      <c r="X45" s="2"/>
      <c r="Y45" s="2"/>
      <c r="Z45" s="2"/>
      <c r="AA45" s="2">
        <v>28</v>
      </c>
      <c r="AB45" s="2"/>
      <c r="AC45" s="2">
        <v>9</v>
      </c>
      <c r="AD45" s="2">
        <v>0</v>
      </c>
      <c r="AE45" s="2">
        <v>24</v>
      </c>
      <c r="AF45" s="2">
        <v>3</v>
      </c>
      <c r="AG45" s="2">
        <v>9</v>
      </c>
      <c r="AH45" s="2">
        <v>4</v>
      </c>
      <c r="AI45" s="2">
        <v>0</v>
      </c>
      <c r="AJ45" s="2"/>
      <c r="AK45" s="2">
        <v>0</v>
      </c>
      <c r="AL45" s="2">
        <v>5</v>
      </c>
      <c r="AM45" s="2">
        <v>2</v>
      </c>
      <c r="AN45" s="2">
        <v>0</v>
      </c>
      <c r="AO45" s="2"/>
      <c r="AP45" s="2"/>
      <c r="AQ45" s="2">
        <v>0</v>
      </c>
      <c r="AR45" s="2">
        <v>0</v>
      </c>
      <c r="AS45" s="2">
        <v>0</v>
      </c>
      <c r="AT45" s="2">
        <v>9</v>
      </c>
      <c r="AU45" s="2">
        <v>12</v>
      </c>
      <c r="AV45" s="2">
        <v>0</v>
      </c>
      <c r="AW45" s="2">
        <v>7</v>
      </c>
      <c r="AX45" s="2">
        <v>31</v>
      </c>
      <c r="AY45" s="2">
        <v>8</v>
      </c>
      <c r="AZ45" s="2">
        <v>0</v>
      </c>
      <c r="BA45" s="2">
        <v>11</v>
      </c>
      <c r="BB45" s="2">
        <v>36</v>
      </c>
      <c r="BC45" s="4">
        <v>26</v>
      </c>
      <c r="BD45" s="4">
        <v>4</v>
      </c>
      <c r="BE45" s="4">
        <v>18</v>
      </c>
      <c r="BF45" s="11">
        <v>34</v>
      </c>
      <c r="BG45" s="11">
        <v>18</v>
      </c>
      <c r="BH45" s="11">
        <v>18</v>
      </c>
      <c r="BI45" s="11">
        <v>11</v>
      </c>
      <c r="BJ45" s="11">
        <v>5</v>
      </c>
      <c r="BK45" s="4">
        <v>20</v>
      </c>
      <c r="BL45" s="4">
        <v>4</v>
      </c>
      <c r="BM45" s="11">
        <v>6</v>
      </c>
      <c r="BN45" s="2">
        <v>8</v>
      </c>
      <c r="BO45" s="2">
        <v>6</v>
      </c>
      <c r="BP45" s="2"/>
      <c r="BQ45" s="2">
        <v>11</v>
      </c>
      <c r="BR45" s="2">
        <v>0</v>
      </c>
      <c r="BS45" s="2">
        <v>20</v>
      </c>
      <c r="BT45" s="2">
        <v>27</v>
      </c>
      <c r="BU45" s="2">
        <v>55</v>
      </c>
      <c r="BV45" s="2">
        <v>43</v>
      </c>
      <c r="BW45" s="2">
        <v>0</v>
      </c>
      <c r="BX45" s="2">
        <v>0</v>
      </c>
      <c r="BY45" s="2">
        <v>10</v>
      </c>
      <c r="BZ45" s="2">
        <v>9</v>
      </c>
      <c r="CA45" s="2">
        <v>8</v>
      </c>
      <c r="CB45" s="2">
        <v>7</v>
      </c>
      <c r="CC45" s="2">
        <v>8</v>
      </c>
      <c r="CD45" s="2">
        <v>0</v>
      </c>
      <c r="CE45" s="2">
        <v>0</v>
      </c>
      <c r="CF45" s="2">
        <v>4</v>
      </c>
      <c r="CG45" s="2">
        <v>0</v>
      </c>
      <c r="CH45" s="2">
        <v>25</v>
      </c>
      <c r="CI45" s="2">
        <v>11</v>
      </c>
      <c r="CJ45" s="2">
        <v>0</v>
      </c>
      <c r="CK45" s="2">
        <v>0</v>
      </c>
      <c r="CL45" s="2">
        <v>3</v>
      </c>
      <c r="CM45" s="2">
        <v>0</v>
      </c>
      <c r="CN45" s="2"/>
      <c r="CO45" s="10">
        <v>4</v>
      </c>
      <c r="CP45" s="10">
        <v>2</v>
      </c>
      <c r="CQ45" s="3">
        <v>13</v>
      </c>
      <c r="CR45" s="2">
        <v>4</v>
      </c>
      <c r="CS45" s="2">
        <v>2</v>
      </c>
      <c r="CT45" s="2">
        <v>59</v>
      </c>
      <c r="CU45" s="2">
        <v>22</v>
      </c>
      <c r="CV45" s="2"/>
      <c r="CW45" s="2">
        <v>3</v>
      </c>
      <c r="CX45" s="2">
        <v>0</v>
      </c>
      <c r="CY45" s="2"/>
      <c r="CZ45" s="2">
        <v>14</v>
      </c>
      <c r="DA45" s="2">
        <v>3</v>
      </c>
      <c r="DB45" s="2"/>
      <c r="DC45" s="2"/>
      <c r="DD45" s="2">
        <v>13</v>
      </c>
      <c r="DE45" s="2">
        <v>11</v>
      </c>
      <c r="DF45" s="2">
        <v>0</v>
      </c>
      <c r="DG45" s="2">
        <v>27</v>
      </c>
      <c r="DH45" s="2">
        <v>10</v>
      </c>
      <c r="DI45" s="2">
        <v>15</v>
      </c>
      <c r="DJ45" s="2">
        <v>5</v>
      </c>
      <c r="DK45" s="2">
        <v>3</v>
      </c>
      <c r="DL45" s="2">
        <v>52</v>
      </c>
      <c r="DM45" s="2">
        <v>33</v>
      </c>
      <c r="DN45" s="2">
        <v>10</v>
      </c>
      <c r="DO45" s="2">
        <v>0</v>
      </c>
      <c r="DP45" s="2">
        <v>0</v>
      </c>
      <c r="DQ45" s="2">
        <v>0</v>
      </c>
      <c r="DR45" s="2"/>
      <c r="DS45" s="2">
        <v>27</v>
      </c>
      <c r="DT45" s="2">
        <v>12</v>
      </c>
      <c r="DU45" s="2">
        <v>0</v>
      </c>
      <c r="DV45" s="2">
        <v>29</v>
      </c>
      <c r="DW45" s="2">
        <v>0</v>
      </c>
      <c r="DX45" s="2">
        <v>0</v>
      </c>
      <c r="DY45" s="2">
        <v>0</v>
      </c>
      <c r="DZ45" s="2"/>
      <c r="EA45" s="2"/>
      <c r="EB45" s="2">
        <v>33</v>
      </c>
      <c r="EC45" s="2">
        <v>3</v>
      </c>
      <c r="ED45" s="2">
        <v>4</v>
      </c>
      <c r="EE45" s="2">
        <v>5</v>
      </c>
      <c r="EF45" s="2">
        <v>2</v>
      </c>
      <c r="EG45" s="2">
        <v>8</v>
      </c>
      <c r="EH45" s="2">
        <v>2</v>
      </c>
      <c r="EI45" s="2">
        <v>2</v>
      </c>
      <c r="EJ45" s="2">
        <v>3</v>
      </c>
      <c r="EK45" s="2">
        <v>15</v>
      </c>
      <c r="EL45" s="2">
        <v>16</v>
      </c>
      <c r="EM45" s="2">
        <v>11</v>
      </c>
      <c r="EN45" s="2">
        <v>5</v>
      </c>
      <c r="EO45" s="2"/>
      <c r="EP45" s="2"/>
      <c r="EQ45" s="2">
        <v>3</v>
      </c>
      <c r="ER45" s="2">
        <v>0</v>
      </c>
      <c r="ES45" s="2">
        <v>7</v>
      </c>
      <c r="ET45" s="2">
        <v>20</v>
      </c>
      <c r="EU45" s="2">
        <v>8</v>
      </c>
      <c r="EV45" s="2">
        <v>0</v>
      </c>
      <c r="EW45" s="2">
        <v>13</v>
      </c>
      <c r="EX45" s="2">
        <v>16</v>
      </c>
      <c r="EY45" s="2">
        <v>10</v>
      </c>
      <c r="EZ45" s="2"/>
      <c r="FA45" s="2"/>
      <c r="FB45" s="2"/>
      <c r="FC45" s="2"/>
      <c r="FD45" s="2">
        <v>59</v>
      </c>
      <c r="FE45" s="2">
        <v>50</v>
      </c>
      <c r="FF45" s="2"/>
      <c r="FG45" s="2"/>
      <c r="FH45" s="2"/>
      <c r="FI45" s="2"/>
      <c r="FJ45" s="2"/>
      <c r="FK45" s="2">
        <f t="shared" si="4"/>
        <v>121</v>
      </c>
    </row>
    <row r="46" spans="1:167" ht="14.6">
      <c r="A46" s="3" t="s">
        <v>85</v>
      </c>
      <c r="B46" s="2">
        <v>27.589478100000001</v>
      </c>
      <c r="C46" s="2">
        <v>85.515703999999999</v>
      </c>
      <c r="E46" s="2"/>
      <c r="F46" s="2"/>
      <c r="H46" s="2"/>
      <c r="I46" s="2"/>
      <c r="J46" s="2"/>
      <c r="L46" s="2"/>
      <c r="M46" s="2"/>
      <c r="O46" s="2"/>
      <c r="T46" s="2"/>
      <c r="U46" s="2"/>
      <c r="V46" s="2"/>
      <c r="W46" s="2"/>
      <c r="X46" s="2"/>
      <c r="Y46" s="2"/>
      <c r="Z46" s="2"/>
      <c r="AA46" s="2"/>
      <c r="AG46" s="2"/>
      <c r="AY46" s="2">
        <v>59</v>
      </c>
      <c r="BA46" s="2">
        <v>8</v>
      </c>
      <c r="BB46" s="2">
        <v>65</v>
      </c>
      <c r="BC46" s="4">
        <v>11</v>
      </c>
      <c r="BD46" s="11"/>
      <c r="BE46" s="4">
        <v>45</v>
      </c>
      <c r="BF46" s="4">
        <v>19</v>
      </c>
      <c r="BG46" s="11">
        <v>15</v>
      </c>
      <c r="BH46" s="11">
        <v>9</v>
      </c>
      <c r="BI46" s="11">
        <v>6</v>
      </c>
      <c r="BJ46" s="11"/>
      <c r="BK46" s="11"/>
      <c r="BL46" s="11"/>
      <c r="BM46" s="4">
        <v>45</v>
      </c>
      <c r="BN46" s="2">
        <v>6</v>
      </c>
      <c r="BO46" s="2">
        <v>0</v>
      </c>
      <c r="BP46" s="2"/>
      <c r="BQ46" s="2">
        <v>10</v>
      </c>
      <c r="BS46" s="2">
        <v>35</v>
      </c>
      <c r="BT46" s="2">
        <v>0</v>
      </c>
      <c r="BU46" s="2">
        <v>52</v>
      </c>
      <c r="BV46" s="2">
        <v>13</v>
      </c>
      <c r="BW46" s="2">
        <v>3</v>
      </c>
      <c r="BX46" s="2">
        <v>0</v>
      </c>
      <c r="BY46" s="2">
        <v>0</v>
      </c>
      <c r="BZ46" s="2">
        <v>8</v>
      </c>
      <c r="CA46" s="2">
        <v>21</v>
      </c>
      <c r="CB46" s="2">
        <v>15</v>
      </c>
      <c r="CC46" s="2">
        <v>0</v>
      </c>
      <c r="CE46" s="2">
        <v>0</v>
      </c>
      <c r="CF46" s="2">
        <v>11</v>
      </c>
      <c r="CH46" s="2">
        <v>4</v>
      </c>
      <c r="CK46" s="2">
        <v>0</v>
      </c>
      <c r="CL46" s="2">
        <v>25</v>
      </c>
      <c r="CM46" s="2">
        <v>0</v>
      </c>
      <c r="CN46" s="2">
        <v>11</v>
      </c>
      <c r="CO46" s="3">
        <v>15</v>
      </c>
      <c r="CP46" s="10">
        <v>0</v>
      </c>
      <c r="CQ46" s="10">
        <v>5</v>
      </c>
      <c r="CR46" s="2">
        <v>31</v>
      </c>
      <c r="CS46" s="2">
        <v>7</v>
      </c>
      <c r="CW46" s="2">
        <v>46</v>
      </c>
      <c r="CY46" s="2">
        <v>17</v>
      </c>
      <c r="DC46" s="2">
        <v>35</v>
      </c>
      <c r="DS46" s="2">
        <v>55</v>
      </c>
      <c r="DX46" s="2">
        <v>11</v>
      </c>
      <c r="EC46" s="2">
        <v>5</v>
      </c>
      <c r="FK46" s="2">
        <f t="shared" si="4"/>
        <v>42</v>
      </c>
    </row>
    <row r="47" spans="1:167" ht="14.6">
      <c r="A47" s="3" t="s">
        <v>87</v>
      </c>
      <c r="B47" s="10">
        <v>27.648342599999999</v>
      </c>
      <c r="C47" s="10">
        <v>85.312981100000002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>
        <v>3</v>
      </c>
      <c r="U47" s="2">
        <v>25</v>
      </c>
      <c r="V47" s="2">
        <v>0</v>
      </c>
      <c r="W47" s="2">
        <v>35</v>
      </c>
      <c r="X47" s="2">
        <v>7</v>
      </c>
      <c r="Y47" s="2">
        <v>5</v>
      </c>
      <c r="Z47" s="2">
        <v>1</v>
      </c>
      <c r="AA47" s="2">
        <v>13.5</v>
      </c>
      <c r="AB47" s="2">
        <v>0</v>
      </c>
      <c r="AC47" s="2">
        <v>1</v>
      </c>
      <c r="AD47" s="2">
        <v>0</v>
      </c>
      <c r="AE47" s="30">
        <v>21</v>
      </c>
      <c r="AF47" s="31"/>
      <c r="AG47" s="2">
        <v>4</v>
      </c>
      <c r="AH47" s="2">
        <v>3</v>
      </c>
      <c r="AI47" s="2">
        <v>0.5</v>
      </c>
      <c r="AJ47" s="2">
        <v>0.5</v>
      </c>
      <c r="AK47" s="2">
        <v>0</v>
      </c>
      <c r="AL47" s="2">
        <v>0</v>
      </c>
      <c r="AM47" s="2">
        <v>1</v>
      </c>
      <c r="AN47" s="2">
        <v>2</v>
      </c>
      <c r="AO47" s="2">
        <v>0</v>
      </c>
      <c r="AP47" s="2">
        <v>0</v>
      </c>
      <c r="AQ47" s="2">
        <v>0</v>
      </c>
      <c r="AR47" s="2"/>
      <c r="AS47" s="2">
        <v>7</v>
      </c>
      <c r="AT47" s="2">
        <v>6</v>
      </c>
      <c r="AU47" s="2">
        <v>1</v>
      </c>
      <c r="AV47" s="2">
        <v>29</v>
      </c>
      <c r="AW47" s="2">
        <v>4</v>
      </c>
      <c r="AX47" s="2"/>
      <c r="AY47" s="2">
        <v>9</v>
      </c>
      <c r="AZ47" s="2"/>
      <c r="BA47" s="2"/>
      <c r="BB47" s="2"/>
      <c r="BC47" s="11"/>
      <c r="BD47" s="11"/>
      <c r="BE47" s="11"/>
      <c r="BF47" s="4">
        <v>9</v>
      </c>
      <c r="BG47" s="11"/>
      <c r="BH47" s="11"/>
      <c r="BI47" s="4">
        <v>3</v>
      </c>
      <c r="BJ47" s="11">
        <v>0</v>
      </c>
      <c r="BK47" s="33">
        <v>17</v>
      </c>
      <c r="BL47" s="31"/>
      <c r="BM47" s="4">
        <v>1</v>
      </c>
      <c r="BN47" s="2">
        <v>8</v>
      </c>
      <c r="BO47" s="2">
        <v>1</v>
      </c>
      <c r="BP47" s="2">
        <v>5</v>
      </c>
      <c r="BQ47" s="2"/>
      <c r="BR47" s="2"/>
      <c r="BS47" s="2">
        <v>15</v>
      </c>
      <c r="BT47" s="2">
        <v>0</v>
      </c>
      <c r="BU47" s="2">
        <v>54</v>
      </c>
      <c r="BV47" s="2">
        <v>4</v>
      </c>
      <c r="BW47" s="2">
        <v>2</v>
      </c>
      <c r="BX47" s="2">
        <v>0</v>
      </c>
      <c r="BY47" s="30">
        <v>38</v>
      </c>
      <c r="BZ47" s="31"/>
      <c r="CA47" s="2">
        <v>4</v>
      </c>
      <c r="CB47" s="2">
        <v>7</v>
      </c>
      <c r="CC47" s="2">
        <v>0</v>
      </c>
      <c r="CD47" s="2">
        <v>7</v>
      </c>
      <c r="CE47" s="2">
        <v>0</v>
      </c>
      <c r="CF47" s="2">
        <v>2</v>
      </c>
      <c r="CG47" s="2">
        <v>0</v>
      </c>
      <c r="CH47" s="2">
        <v>3</v>
      </c>
      <c r="CI47" s="2">
        <v>0</v>
      </c>
      <c r="CJ47" s="2">
        <v>0</v>
      </c>
      <c r="CK47" s="30">
        <v>42</v>
      </c>
      <c r="CL47" s="31"/>
      <c r="CM47" s="30">
        <v>22</v>
      </c>
      <c r="CN47" s="31"/>
      <c r="CO47" s="10">
        <v>11</v>
      </c>
      <c r="CP47" s="10">
        <v>0.5</v>
      </c>
      <c r="CQ47" s="3">
        <v>4</v>
      </c>
      <c r="CR47" s="2">
        <v>0</v>
      </c>
      <c r="CS47" s="30">
        <v>36</v>
      </c>
      <c r="CT47" s="31"/>
      <c r="CU47" s="2">
        <v>9</v>
      </c>
      <c r="CV47" s="2">
        <v>5</v>
      </c>
      <c r="CW47" s="2">
        <v>7</v>
      </c>
      <c r="CX47" s="2">
        <v>0</v>
      </c>
      <c r="CY47" s="2">
        <v>8</v>
      </c>
      <c r="CZ47" s="2">
        <v>8</v>
      </c>
      <c r="DA47" s="2">
        <v>0</v>
      </c>
      <c r="DB47" s="2">
        <v>1</v>
      </c>
      <c r="DC47" s="2">
        <v>0.5</v>
      </c>
      <c r="DD47" s="2">
        <v>3</v>
      </c>
      <c r="DE47" s="2">
        <v>10</v>
      </c>
      <c r="DF47" s="2">
        <v>7</v>
      </c>
      <c r="DG47" s="2">
        <v>0</v>
      </c>
      <c r="DH47" s="2">
        <v>3</v>
      </c>
      <c r="DI47" s="2">
        <v>3</v>
      </c>
      <c r="DJ47" s="2">
        <v>22</v>
      </c>
      <c r="DK47" s="2">
        <v>2</v>
      </c>
      <c r="DL47" s="2">
        <v>0</v>
      </c>
      <c r="DM47" s="2">
        <v>17</v>
      </c>
      <c r="DN47" s="2">
        <v>27</v>
      </c>
      <c r="DO47" s="2">
        <v>5</v>
      </c>
      <c r="DP47" s="2">
        <v>0</v>
      </c>
      <c r="DQ47" s="2">
        <v>0</v>
      </c>
      <c r="DR47" s="2">
        <v>0</v>
      </c>
      <c r="DS47" s="2">
        <v>22</v>
      </c>
      <c r="DT47" s="2">
        <v>2</v>
      </c>
      <c r="DU47" s="2">
        <v>1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/>
      <c r="EB47" s="2">
        <v>0</v>
      </c>
      <c r="EC47" s="2"/>
      <c r="ED47" s="2"/>
      <c r="EE47" s="2"/>
      <c r="EF47" s="2"/>
      <c r="EG47" s="2">
        <v>0</v>
      </c>
      <c r="EH47" s="2">
        <v>0.5</v>
      </c>
      <c r="EI47" s="2">
        <v>0</v>
      </c>
      <c r="EJ47" s="2">
        <v>0</v>
      </c>
      <c r="EK47" s="2">
        <v>9</v>
      </c>
      <c r="EL47" s="2">
        <v>22</v>
      </c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>
        <f t="shared" si="4"/>
        <v>100</v>
      </c>
    </row>
    <row r="48" spans="1:167" ht="14.6">
      <c r="A48" s="3" t="s">
        <v>89</v>
      </c>
      <c r="B48" s="10">
        <v>27.749326499999999</v>
      </c>
      <c r="C48" s="10">
        <v>85.293274199999999</v>
      </c>
      <c r="D48" s="2">
        <v>2</v>
      </c>
      <c r="E48" s="2">
        <v>3</v>
      </c>
      <c r="F48" s="2">
        <v>4</v>
      </c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CO48" s="3"/>
      <c r="CP48" s="3"/>
      <c r="CQ48" s="3"/>
      <c r="FK48" s="2">
        <f t="shared" si="4"/>
        <v>3</v>
      </c>
    </row>
    <row r="49" spans="1:167" ht="14.6">
      <c r="A49" s="2" t="s">
        <v>91</v>
      </c>
      <c r="B49" s="2">
        <v>27.731896500000001</v>
      </c>
      <c r="C49" s="2">
        <v>85.310133699999994</v>
      </c>
      <c r="D49" s="2"/>
      <c r="E49" s="2"/>
      <c r="F49" s="2"/>
      <c r="AB49" s="2">
        <v>0</v>
      </c>
      <c r="AC49" s="2">
        <v>0</v>
      </c>
      <c r="AD49" s="2">
        <v>0</v>
      </c>
      <c r="AF49" s="2">
        <v>71</v>
      </c>
      <c r="AG49" s="2">
        <v>7</v>
      </c>
      <c r="AH49" s="2">
        <v>5</v>
      </c>
      <c r="AI49" s="2">
        <v>4</v>
      </c>
      <c r="AJ49" s="2">
        <v>2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9</v>
      </c>
      <c r="AT49" s="2">
        <v>7</v>
      </c>
      <c r="AU49" s="2">
        <v>5</v>
      </c>
      <c r="AV49" s="2">
        <v>7</v>
      </c>
      <c r="AW49" s="2">
        <v>17</v>
      </c>
      <c r="AX49" s="2">
        <v>5</v>
      </c>
      <c r="AY49" s="2">
        <v>19</v>
      </c>
      <c r="AZ49" s="2">
        <v>3</v>
      </c>
      <c r="BA49" s="2">
        <v>9</v>
      </c>
      <c r="BB49" s="2">
        <v>24</v>
      </c>
      <c r="BC49" s="4">
        <v>33</v>
      </c>
      <c r="BD49" s="4">
        <v>4</v>
      </c>
      <c r="BE49" s="4">
        <v>20</v>
      </c>
      <c r="BF49" s="4">
        <v>18</v>
      </c>
      <c r="BG49" s="11">
        <v>14</v>
      </c>
      <c r="BH49" s="11">
        <v>16</v>
      </c>
      <c r="BI49" s="11">
        <v>48</v>
      </c>
      <c r="BJ49" s="11">
        <v>59</v>
      </c>
      <c r="BK49" s="4">
        <v>12</v>
      </c>
      <c r="BL49" s="4">
        <v>29</v>
      </c>
      <c r="BM49" s="4">
        <v>20</v>
      </c>
      <c r="BN49" s="2">
        <v>26</v>
      </c>
      <c r="BO49" s="2">
        <v>3</v>
      </c>
      <c r="BP49" s="2">
        <v>10</v>
      </c>
      <c r="BQ49" s="2">
        <v>62</v>
      </c>
      <c r="BR49" s="2">
        <v>0</v>
      </c>
      <c r="BS49" s="2">
        <v>42</v>
      </c>
      <c r="BT49" s="2">
        <v>0</v>
      </c>
      <c r="BU49" s="2">
        <v>45</v>
      </c>
      <c r="BV49" s="2">
        <v>5</v>
      </c>
      <c r="BW49" s="2">
        <v>39</v>
      </c>
      <c r="BX49" s="2">
        <v>15</v>
      </c>
      <c r="BY49" s="2">
        <v>5</v>
      </c>
      <c r="BZ49" s="2">
        <v>47</v>
      </c>
      <c r="CA49" s="2">
        <v>5</v>
      </c>
      <c r="CC49" s="2">
        <v>0</v>
      </c>
      <c r="CD49" s="2">
        <v>0</v>
      </c>
      <c r="CE49" s="2">
        <v>0</v>
      </c>
      <c r="CF49" s="2">
        <v>4</v>
      </c>
      <c r="CG49" s="2">
        <v>0</v>
      </c>
      <c r="CH49" s="2">
        <v>42</v>
      </c>
      <c r="CI49" s="2">
        <v>4</v>
      </c>
      <c r="CJ49" s="2">
        <v>3</v>
      </c>
      <c r="CK49" s="2">
        <v>0</v>
      </c>
      <c r="CL49" s="2">
        <v>3</v>
      </c>
      <c r="CM49" s="2">
        <v>0</v>
      </c>
      <c r="CN49" s="2">
        <v>69</v>
      </c>
      <c r="CO49" s="10">
        <v>7</v>
      </c>
      <c r="CP49" s="10">
        <v>11</v>
      </c>
      <c r="CQ49" s="10">
        <v>6</v>
      </c>
      <c r="CR49" s="2">
        <v>17</v>
      </c>
      <c r="CS49" s="2">
        <v>0</v>
      </c>
      <c r="CT49" s="2">
        <v>21</v>
      </c>
      <c r="CU49" s="2">
        <v>7</v>
      </c>
      <c r="CW49" s="2">
        <v>11</v>
      </c>
      <c r="CX49" s="2">
        <v>0</v>
      </c>
      <c r="CY49" s="2">
        <v>10</v>
      </c>
      <c r="CZ49" s="2">
        <v>8</v>
      </c>
      <c r="DA49" s="2">
        <v>10</v>
      </c>
      <c r="DB49" s="2">
        <v>5</v>
      </c>
      <c r="DC49" s="2">
        <v>5</v>
      </c>
      <c r="DD49" s="2">
        <v>3</v>
      </c>
      <c r="DE49" s="2">
        <v>0</v>
      </c>
      <c r="DF49" s="2">
        <v>29</v>
      </c>
      <c r="DG49" s="2">
        <v>10</v>
      </c>
      <c r="DH49" s="2">
        <v>15</v>
      </c>
      <c r="DI49" s="2">
        <v>20</v>
      </c>
      <c r="DJ49" s="2">
        <v>8</v>
      </c>
      <c r="DK49" s="2">
        <v>14</v>
      </c>
      <c r="DL49" s="2">
        <v>0</v>
      </c>
      <c r="DM49" s="2">
        <v>31</v>
      </c>
      <c r="DN49" s="2">
        <v>36</v>
      </c>
      <c r="DO49" s="2">
        <v>0</v>
      </c>
      <c r="DP49" s="2">
        <v>0</v>
      </c>
      <c r="DQ49" s="2">
        <v>0</v>
      </c>
      <c r="DR49" s="2">
        <v>0</v>
      </c>
      <c r="DS49" s="2">
        <v>36</v>
      </c>
      <c r="DT49" s="2">
        <v>15</v>
      </c>
      <c r="DU49" s="2">
        <v>17</v>
      </c>
      <c r="DV49" s="2">
        <v>20</v>
      </c>
      <c r="DW49" s="2">
        <v>4</v>
      </c>
      <c r="DX49" s="2">
        <v>0</v>
      </c>
      <c r="DY49" s="2">
        <v>0</v>
      </c>
      <c r="DZ49" s="2">
        <v>0</v>
      </c>
      <c r="EA49" s="2">
        <v>0</v>
      </c>
      <c r="EB49" s="2">
        <v>10</v>
      </c>
      <c r="EC49" s="2">
        <v>20</v>
      </c>
      <c r="ED49" s="2">
        <v>4</v>
      </c>
      <c r="EE49" s="2">
        <v>4</v>
      </c>
      <c r="EF49" s="2">
        <v>5</v>
      </c>
      <c r="EH49" s="2">
        <v>22</v>
      </c>
      <c r="EI49" s="2">
        <v>7</v>
      </c>
      <c r="EJ49" s="2">
        <v>4</v>
      </c>
      <c r="EK49" s="2">
        <v>25</v>
      </c>
      <c r="EL49" s="2">
        <v>11</v>
      </c>
      <c r="EM49" s="2">
        <v>15</v>
      </c>
      <c r="EN49" s="2">
        <v>34</v>
      </c>
      <c r="EO49" s="2">
        <v>4</v>
      </c>
      <c r="EP49" s="2">
        <v>4</v>
      </c>
      <c r="EQ49" s="2">
        <v>15</v>
      </c>
      <c r="ER49" s="2">
        <v>5</v>
      </c>
      <c r="ES49" s="2">
        <v>4</v>
      </c>
      <c r="ET49" s="2">
        <v>4</v>
      </c>
      <c r="EU49" s="2">
        <v>31</v>
      </c>
      <c r="EV49" s="2">
        <v>4</v>
      </c>
      <c r="EW49" s="2">
        <v>5</v>
      </c>
      <c r="EX49" s="2">
        <v>3</v>
      </c>
      <c r="EY49" s="2">
        <v>20</v>
      </c>
      <c r="EZ49" s="2">
        <v>4</v>
      </c>
      <c r="FA49" s="2">
        <v>10</v>
      </c>
      <c r="FB49" s="2">
        <v>20</v>
      </c>
      <c r="FC49" s="2">
        <v>4</v>
      </c>
      <c r="FD49" s="2">
        <v>107</v>
      </c>
      <c r="FE49" s="2">
        <v>20</v>
      </c>
      <c r="FF49" s="2">
        <v>4</v>
      </c>
      <c r="FG49" s="2">
        <v>2</v>
      </c>
      <c r="FH49" s="2">
        <v>0</v>
      </c>
      <c r="FI49" s="2">
        <v>0</v>
      </c>
      <c r="FJ49" s="2">
        <v>0</v>
      </c>
      <c r="FK49" s="2">
        <f>COUNT(D49:FJ49)</f>
        <v>135</v>
      </c>
    </row>
    <row r="50" spans="1:167" ht="14.6">
      <c r="A50" s="2" t="s">
        <v>93</v>
      </c>
      <c r="B50" s="2">
        <v>27.6827319</v>
      </c>
      <c r="C50" s="2">
        <v>85.343363199999999</v>
      </c>
      <c r="AB50" s="2">
        <v>6</v>
      </c>
      <c r="AC50" s="2">
        <v>5</v>
      </c>
      <c r="AD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15</v>
      </c>
      <c r="AS50" s="2">
        <v>19</v>
      </c>
      <c r="AT50" s="2">
        <v>0</v>
      </c>
      <c r="AW50" s="2">
        <v>10</v>
      </c>
      <c r="BB50" s="2">
        <v>20</v>
      </c>
      <c r="BC50" s="16"/>
      <c r="BD50" s="16"/>
      <c r="BE50" s="15">
        <v>0</v>
      </c>
      <c r="BF50" s="16"/>
      <c r="BG50" s="16"/>
      <c r="BH50" s="15">
        <v>0</v>
      </c>
      <c r="BI50" s="4">
        <v>0</v>
      </c>
      <c r="BJ50" s="11"/>
      <c r="BK50" s="11"/>
      <c r="BL50" s="11"/>
      <c r="BM50" s="11"/>
      <c r="BP50" s="2">
        <v>0</v>
      </c>
      <c r="BQ50" s="2">
        <v>12</v>
      </c>
      <c r="BR50" s="2">
        <v>0</v>
      </c>
      <c r="BS50" s="2">
        <v>0</v>
      </c>
      <c r="BT50" s="2">
        <v>0</v>
      </c>
      <c r="BU50" s="2">
        <v>37</v>
      </c>
      <c r="BV50" s="2">
        <v>24</v>
      </c>
      <c r="BW50" s="2">
        <v>0</v>
      </c>
      <c r="BX50" s="2">
        <v>0</v>
      </c>
      <c r="BZ50" s="2">
        <v>42</v>
      </c>
      <c r="CA50" s="2">
        <v>25</v>
      </c>
      <c r="CB50" s="2">
        <v>29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24</v>
      </c>
      <c r="CI50" s="2">
        <v>0</v>
      </c>
      <c r="CJ50" s="2">
        <v>17</v>
      </c>
      <c r="CM50" s="2">
        <v>0</v>
      </c>
      <c r="CN50" s="2">
        <v>19</v>
      </c>
      <c r="CO50" s="3"/>
      <c r="CP50" s="3"/>
      <c r="CQ50" s="3"/>
      <c r="CR50" s="2">
        <v>11</v>
      </c>
      <c r="CS50" s="2">
        <v>0</v>
      </c>
      <c r="CT50" s="2">
        <v>42</v>
      </c>
      <c r="CV50" s="2">
        <v>5</v>
      </c>
      <c r="CZ50" s="2">
        <v>0</v>
      </c>
      <c r="DD50" s="2">
        <v>8</v>
      </c>
      <c r="DI50" s="2">
        <v>8</v>
      </c>
      <c r="DP50" s="2">
        <v>0</v>
      </c>
      <c r="DQ50" s="2">
        <v>0</v>
      </c>
      <c r="DR50" s="2">
        <v>0</v>
      </c>
      <c r="DS50" s="2">
        <v>18</v>
      </c>
      <c r="DT50" s="2">
        <v>10</v>
      </c>
      <c r="DU50" s="2">
        <v>5</v>
      </c>
      <c r="DV50" s="2">
        <v>7.6</v>
      </c>
      <c r="DW50" s="2">
        <v>0</v>
      </c>
      <c r="DY50" s="2">
        <v>0</v>
      </c>
      <c r="DZ50" s="2">
        <v>0</v>
      </c>
      <c r="EA50" s="2">
        <v>0</v>
      </c>
      <c r="EB50" s="2">
        <v>53</v>
      </c>
      <c r="EF50" s="2">
        <v>0</v>
      </c>
      <c r="FD50" s="2">
        <v>86</v>
      </c>
      <c r="FE50" s="2">
        <v>112</v>
      </c>
      <c r="FK50" s="2">
        <f t="shared" ref="FK50:FK56" si="5">COUNT(D50:FI50)</f>
        <v>59</v>
      </c>
    </row>
    <row r="51" spans="1:167" ht="14.6">
      <c r="A51" s="3" t="s">
        <v>95</v>
      </c>
      <c r="B51" s="10">
        <v>27.675781700000002</v>
      </c>
      <c r="C51" s="10">
        <v>85.375986900000001</v>
      </c>
      <c r="D51" s="2">
        <v>6</v>
      </c>
      <c r="E51" s="2">
        <v>3</v>
      </c>
      <c r="F51" s="2">
        <v>0</v>
      </c>
      <c r="G51" s="2">
        <v>0</v>
      </c>
      <c r="H51" s="2">
        <v>4</v>
      </c>
      <c r="I51" s="2">
        <v>10</v>
      </c>
      <c r="J51" s="2">
        <v>0</v>
      </c>
      <c r="K51" s="2"/>
      <c r="L51" s="2"/>
      <c r="M51" s="2"/>
      <c r="N51" s="2"/>
      <c r="O51" s="2"/>
      <c r="P51" s="2"/>
      <c r="Q51" s="2"/>
      <c r="R51" s="2"/>
      <c r="S51" s="2"/>
      <c r="T51" s="2">
        <v>8</v>
      </c>
      <c r="U51" s="2"/>
      <c r="V51" s="2">
        <v>4</v>
      </c>
      <c r="W51" s="2">
        <v>16</v>
      </c>
      <c r="X51" s="2">
        <v>10</v>
      </c>
      <c r="Y51" s="2"/>
      <c r="Z51" s="2"/>
      <c r="AA51" s="2">
        <v>26</v>
      </c>
      <c r="AB51" s="2">
        <v>0</v>
      </c>
      <c r="AC51" s="2">
        <v>18</v>
      </c>
      <c r="AD51" s="2">
        <v>0</v>
      </c>
      <c r="AE51" s="2">
        <v>18</v>
      </c>
      <c r="AF51" s="2">
        <v>30</v>
      </c>
      <c r="AG51" s="2">
        <v>0</v>
      </c>
      <c r="AH51" s="2">
        <v>4</v>
      </c>
      <c r="AI51" s="2">
        <v>0</v>
      </c>
      <c r="AJ51" s="2">
        <v>0</v>
      </c>
      <c r="AK51" s="2">
        <v>0</v>
      </c>
      <c r="AL51" s="2">
        <v>2</v>
      </c>
      <c r="AM51" s="2">
        <v>4</v>
      </c>
      <c r="AN51" s="2">
        <v>4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9</v>
      </c>
      <c r="AU51" s="2">
        <v>0</v>
      </c>
      <c r="AV51" s="2">
        <v>27</v>
      </c>
      <c r="AW51" s="2">
        <v>3</v>
      </c>
      <c r="AX51" s="2">
        <v>8</v>
      </c>
      <c r="AY51" s="2">
        <v>40</v>
      </c>
      <c r="AZ51" s="2">
        <v>0</v>
      </c>
      <c r="BA51" s="2">
        <v>12</v>
      </c>
      <c r="BB51" s="2">
        <v>37</v>
      </c>
      <c r="BC51" s="4">
        <v>17</v>
      </c>
      <c r="BD51" s="11"/>
      <c r="BE51" s="4">
        <v>28</v>
      </c>
      <c r="BF51" s="4">
        <v>53</v>
      </c>
      <c r="BG51" s="11">
        <v>13</v>
      </c>
      <c r="BH51" s="11">
        <v>16</v>
      </c>
      <c r="BI51" s="11">
        <v>12</v>
      </c>
      <c r="BJ51" s="4">
        <v>5</v>
      </c>
      <c r="BK51" s="4">
        <v>9</v>
      </c>
      <c r="BL51" s="4">
        <v>7</v>
      </c>
      <c r="BM51" s="4">
        <v>3</v>
      </c>
      <c r="BN51" s="2">
        <v>8</v>
      </c>
      <c r="BO51" s="2">
        <v>3</v>
      </c>
      <c r="BP51" s="2">
        <v>5</v>
      </c>
      <c r="BQ51" s="2">
        <v>8</v>
      </c>
      <c r="BR51" s="2">
        <v>0</v>
      </c>
      <c r="BS51" s="2">
        <v>14</v>
      </c>
      <c r="BT51" s="2"/>
      <c r="BU51" s="2">
        <v>79</v>
      </c>
      <c r="BV51" s="2">
        <v>9</v>
      </c>
      <c r="BW51" s="2">
        <v>0</v>
      </c>
      <c r="BX51" s="2">
        <v>24</v>
      </c>
      <c r="BY51" s="2">
        <v>15</v>
      </c>
      <c r="BZ51" s="2">
        <v>4</v>
      </c>
      <c r="CA51" s="2">
        <v>3</v>
      </c>
      <c r="CB51" s="2">
        <v>6</v>
      </c>
      <c r="CC51" s="2">
        <v>0</v>
      </c>
      <c r="CD51" s="2">
        <v>0</v>
      </c>
      <c r="CE51" s="2">
        <v>6</v>
      </c>
      <c r="CF51" s="2"/>
      <c r="CG51" s="2"/>
      <c r="CH51" s="2">
        <v>6</v>
      </c>
      <c r="CI51" s="2">
        <v>0</v>
      </c>
      <c r="CJ51" s="2">
        <v>30</v>
      </c>
      <c r="CK51" s="2">
        <v>4</v>
      </c>
      <c r="CL51" s="2">
        <v>0</v>
      </c>
      <c r="CM51" s="2">
        <v>0</v>
      </c>
      <c r="CN51" s="2">
        <v>16</v>
      </c>
      <c r="CO51" s="3">
        <v>14</v>
      </c>
      <c r="CP51" s="3">
        <v>0</v>
      </c>
      <c r="CQ51" s="3">
        <v>0</v>
      </c>
      <c r="CR51" s="2">
        <v>0</v>
      </c>
      <c r="CS51" s="2">
        <v>0</v>
      </c>
      <c r="CT51" s="2">
        <v>44</v>
      </c>
      <c r="CU51" s="2">
        <v>0</v>
      </c>
      <c r="CV51" s="2">
        <v>20</v>
      </c>
      <c r="CW51" s="2">
        <v>8</v>
      </c>
      <c r="CX51" s="2">
        <v>0</v>
      </c>
      <c r="CY51" s="2">
        <v>0</v>
      </c>
      <c r="CZ51" s="2">
        <v>0</v>
      </c>
      <c r="DA51" s="2"/>
      <c r="DB51" s="2">
        <v>11</v>
      </c>
      <c r="DC51" s="2">
        <v>5</v>
      </c>
      <c r="DD51" s="2"/>
      <c r="DE51" s="2">
        <v>40</v>
      </c>
      <c r="DF51" s="2">
        <v>2</v>
      </c>
      <c r="DG51" s="2">
        <v>0</v>
      </c>
      <c r="DH51" s="2">
        <v>22</v>
      </c>
      <c r="DI51" s="2">
        <v>0</v>
      </c>
      <c r="DJ51" s="2">
        <v>47</v>
      </c>
      <c r="DK51" s="2">
        <v>0</v>
      </c>
      <c r="DL51" s="2">
        <v>19</v>
      </c>
      <c r="DM51" s="2">
        <v>44</v>
      </c>
      <c r="DN51" s="2">
        <v>60</v>
      </c>
      <c r="DO51" s="2">
        <v>0</v>
      </c>
      <c r="DP51" s="2">
        <v>0</v>
      </c>
      <c r="DQ51" s="2">
        <v>0</v>
      </c>
      <c r="DR51" s="2">
        <v>0</v>
      </c>
      <c r="DS51" s="2">
        <v>32</v>
      </c>
      <c r="DT51" s="2">
        <v>0</v>
      </c>
      <c r="DU51" s="2">
        <v>0</v>
      </c>
      <c r="DV51" s="2">
        <v>7</v>
      </c>
      <c r="DW51" s="2">
        <v>0</v>
      </c>
      <c r="DX51" s="2">
        <v>0</v>
      </c>
      <c r="DY51" s="2">
        <v>0</v>
      </c>
      <c r="DZ51" s="2">
        <v>9</v>
      </c>
      <c r="EA51" s="2">
        <v>12</v>
      </c>
      <c r="EB51" s="2">
        <v>0</v>
      </c>
      <c r="EC51" s="2">
        <v>0</v>
      </c>
      <c r="ED51" s="2">
        <v>7</v>
      </c>
      <c r="EE51" s="2">
        <v>0</v>
      </c>
      <c r="EF51" s="2">
        <v>6</v>
      </c>
      <c r="EG51" s="2">
        <v>0</v>
      </c>
      <c r="EH51" s="2">
        <v>0</v>
      </c>
      <c r="EI51" s="2">
        <v>0</v>
      </c>
      <c r="EJ51" s="2">
        <v>0</v>
      </c>
      <c r="EK51" s="2">
        <v>26</v>
      </c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>
        <f t="shared" si="5"/>
        <v>120</v>
      </c>
    </row>
    <row r="52" spans="1:167" ht="14.6">
      <c r="A52" s="3" t="s">
        <v>97</v>
      </c>
      <c r="B52" s="10">
        <v>27.6757481</v>
      </c>
      <c r="C52" s="10">
        <v>85.448514200000005</v>
      </c>
      <c r="D52" s="2"/>
      <c r="E52" s="2"/>
      <c r="F52" s="2"/>
      <c r="G52" s="2"/>
      <c r="H52" s="2"/>
      <c r="K52" s="2"/>
      <c r="L52" s="2"/>
      <c r="N52" s="2"/>
      <c r="O52" s="2"/>
      <c r="Q52" s="2"/>
      <c r="R52" s="2"/>
      <c r="S52" s="2"/>
      <c r="U52" s="2"/>
      <c r="V52" s="2"/>
      <c r="W52" s="2"/>
      <c r="X52" s="2"/>
      <c r="Z52" s="2"/>
      <c r="AB52" s="2"/>
      <c r="AD52" s="2"/>
      <c r="AF52" s="2"/>
      <c r="AG52" s="2"/>
      <c r="AH52" s="2"/>
      <c r="AM52" s="2"/>
      <c r="AQ52" s="2"/>
      <c r="AR52" s="2"/>
      <c r="AV52" s="2">
        <v>16</v>
      </c>
      <c r="AX52" s="2">
        <v>19</v>
      </c>
      <c r="AY52" s="2">
        <v>47</v>
      </c>
      <c r="AZ52" s="2">
        <v>0</v>
      </c>
      <c r="BB52" s="2">
        <v>64</v>
      </c>
      <c r="BC52" s="4">
        <v>48</v>
      </c>
      <c r="BD52" s="4"/>
      <c r="BE52" s="4">
        <v>41</v>
      </c>
      <c r="BF52" s="4">
        <v>19</v>
      </c>
      <c r="BG52" s="11">
        <v>22</v>
      </c>
      <c r="BH52" s="11">
        <v>21</v>
      </c>
      <c r="BI52" s="11"/>
      <c r="BJ52" s="11"/>
      <c r="BK52" s="11"/>
      <c r="BL52" s="11">
        <v>33</v>
      </c>
      <c r="BM52" s="11"/>
      <c r="BQ52" s="2">
        <v>34</v>
      </c>
      <c r="BS52" s="2">
        <v>20</v>
      </c>
      <c r="BT52" s="2">
        <v>0</v>
      </c>
      <c r="BU52" s="2">
        <v>59</v>
      </c>
      <c r="BV52" s="2">
        <v>18</v>
      </c>
      <c r="BW52" s="2">
        <v>20</v>
      </c>
      <c r="BX52" s="2">
        <v>0</v>
      </c>
      <c r="BZ52" s="2">
        <v>8</v>
      </c>
      <c r="CA52" s="2">
        <v>9</v>
      </c>
      <c r="CB52" s="2">
        <v>8</v>
      </c>
      <c r="CC52" s="2">
        <v>0</v>
      </c>
      <c r="CD52" s="2">
        <v>0</v>
      </c>
      <c r="CE52" s="2">
        <v>8</v>
      </c>
      <c r="CF52" s="2">
        <v>0</v>
      </c>
      <c r="CG52" s="2">
        <v>0</v>
      </c>
      <c r="CH52" s="2">
        <v>0</v>
      </c>
      <c r="CI52" s="2">
        <v>4</v>
      </c>
      <c r="CJ52" s="2">
        <v>24</v>
      </c>
      <c r="CN52" s="2">
        <v>24</v>
      </c>
      <c r="CO52" s="30">
        <v>80</v>
      </c>
      <c r="CP52" s="31"/>
      <c r="CQ52" s="31"/>
      <c r="CR52" s="31"/>
      <c r="CS52" s="31"/>
      <c r="CT52" s="31"/>
      <c r="CU52" s="2">
        <v>5</v>
      </c>
      <c r="CV52" s="2">
        <v>21</v>
      </c>
      <c r="CX52" s="2">
        <v>0</v>
      </c>
      <c r="CY52" s="2">
        <v>21</v>
      </c>
      <c r="CZ52" s="2">
        <v>0</v>
      </c>
      <c r="DB52" s="2">
        <v>12</v>
      </c>
      <c r="DG52" s="2">
        <v>45</v>
      </c>
      <c r="DI52" s="2">
        <v>8</v>
      </c>
      <c r="DJ52" s="2">
        <v>17</v>
      </c>
      <c r="DM52" s="2">
        <v>60</v>
      </c>
      <c r="FD52" s="2">
        <v>90</v>
      </c>
      <c r="FE52" s="2">
        <v>41</v>
      </c>
      <c r="FK52" s="2">
        <f t="shared" si="5"/>
        <v>43</v>
      </c>
    </row>
    <row r="53" spans="1:167" ht="14.6">
      <c r="A53" s="3" t="s">
        <v>99</v>
      </c>
      <c r="B53" s="10">
        <v>27.731458199999999</v>
      </c>
      <c r="C53" s="10">
        <v>85.239444800000001</v>
      </c>
      <c r="D53" s="2"/>
      <c r="E53" s="2"/>
      <c r="F53" s="2"/>
      <c r="G53" s="2"/>
      <c r="H53" s="2"/>
      <c r="K53" s="2"/>
      <c r="L53" s="2"/>
      <c r="N53" s="2"/>
      <c r="O53" s="2"/>
      <c r="Q53" s="2"/>
      <c r="R53" s="2"/>
      <c r="S53" s="2"/>
      <c r="U53" s="2"/>
      <c r="V53" s="2"/>
      <c r="W53" s="2"/>
      <c r="X53" s="2"/>
      <c r="Z53" s="2"/>
      <c r="AB53" s="2"/>
      <c r="AD53" s="2"/>
      <c r="AF53" s="2"/>
      <c r="AG53" s="2"/>
      <c r="AH53" s="2"/>
      <c r="AM53" s="2"/>
      <c r="AQ53" s="2"/>
      <c r="AR53" s="2"/>
      <c r="AV53" s="2"/>
      <c r="AW53" s="2"/>
      <c r="AX53" s="2"/>
      <c r="AZ53" s="2"/>
      <c r="BA53" s="2"/>
      <c r="BB53" s="2"/>
      <c r="BC53" s="4"/>
      <c r="BD53" s="4"/>
      <c r="BE53" s="4">
        <v>35</v>
      </c>
      <c r="BF53" s="4">
        <v>24</v>
      </c>
      <c r="BG53" s="11">
        <v>51</v>
      </c>
      <c r="BH53" s="11">
        <v>13</v>
      </c>
      <c r="BI53" s="11"/>
      <c r="BJ53" s="11">
        <v>8</v>
      </c>
      <c r="BK53" s="11"/>
      <c r="BL53" s="11"/>
      <c r="BM53" s="11"/>
      <c r="BS53" s="2">
        <v>50</v>
      </c>
      <c r="BW53" s="2">
        <v>15</v>
      </c>
      <c r="BZ53" s="2">
        <v>33</v>
      </c>
      <c r="CO53" s="3"/>
      <c r="CP53" s="3"/>
      <c r="CQ53" s="3"/>
      <c r="DA53" s="2">
        <v>39</v>
      </c>
      <c r="DD53" s="2">
        <v>32</v>
      </c>
      <c r="DJ53" s="2">
        <v>59</v>
      </c>
      <c r="FK53" s="2">
        <f t="shared" si="5"/>
        <v>11</v>
      </c>
    </row>
    <row r="54" spans="1:167" ht="14.6">
      <c r="A54" s="3" t="s">
        <v>100</v>
      </c>
      <c r="B54" s="10">
        <v>27.671098400000002</v>
      </c>
      <c r="C54" s="10">
        <v>85.434408700000006</v>
      </c>
      <c r="D54" s="2">
        <v>0</v>
      </c>
      <c r="E54" s="2">
        <v>6</v>
      </c>
      <c r="F54" s="2">
        <v>20</v>
      </c>
      <c r="G54" s="2">
        <v>18</v>
      </c>
      <c r="H54" s="2">
        <v>4</v>
      </c>
      <c r="I54" s="2"/>
      <c r="J54" s="2"/>
      <c r="K54" s="2">
        <v>0</v>
      </c>
      <c r="L54" s="2">
        <v>0</v>
      </c>
      <c r="M54" s="2"/>
      <c r="N54" s="2">
        <v>0</v>
      </c>
      <c r="O54" s="2">
        <v>0</v>
      </c>
      <c r="P54" s="2"/>
      <c r="Q54" s="2">
        <v>0</v>
      </c>
      <c r="R54" s="2">
        <v>0</v>
      </c>
      <c r="S54" s="2">
        <v>0</v>
      </c>
      <c r="T54" s="2"/>
      <c r="U54" s="2">
        <v>33</v>
      </c>
      <c r="V54" s="2">
        <v>4</v>
      </c>
      <c r="W54" s="2">
        <v>16</v>
      </c>
      <c r="X54" s="2">
        <v>4</v>
      </c>
      <c r="Y54" s="2"/>
      <c r="Z54" s="2">
        <v>5</v>
      </c>
      <c r="AA54" s="2"/>
      <c r="AB54" s="2">
        <v>3</v>
      </c>
      <c r="AC54" s="2"/>
      <c r="AD54" s="2">
        <v>0</v>
      </c>
      <c r="AE54" s="2"/>
      <c r="AF54" s="2">
        <v>4</v>
      </c>
      <c r="AG54" s="2">
        <v>4</v>
      </c>
      <c r="AH54" s="2">
        <v>0</v>
      </c>
      <c r="AI54" s="2"/>
      <c r="AJ54" s="2"/>
      <c r="AK54" s="2"/>
      <c r="AL54" s="2"/>
      <c r="AM54" s="2">
        <v>18</v>
      </c>
      <c r="AN54" s="2"/>
      <c r="AO54" s="2"/>
      <c r="AP54" s="2"/>
      <c r="AQ54" s="2">
        <v>0</v>
      </c>
      <c r="AR54" s="2">
        <v>0</v>
      </c>
      <c r="AS54" s="2"/>
      <c r="AT54" s="2"/>
      <c r="AU54" s="2"/>
      <c r="AV54" s="2">
        <v>25</v>
      </c>
      <c r="AW54" s="2">
        <v>2</v>
      </c>
      <c r="AX54" s="2">
        <v>12</v>
      </c>
      <c r="AY54" s="2"/>
      <c r="AZ54" s="2">
        <v>2</v>
      </c>
      <c r="BA54" s="2">
        <v>4</v>
      </c>
      <c r="BB54" s="2">
        <v>51</v>
      </c>
      <c r="BC54" s="4">
        <v>32</v>
      </c>
      <c r="BD54" s="4">
        <v>0</v>
      </c>
      <c r="BE54" s="4">
        <v>7</v>
      </c>
      <c r="BF54" s="4">
        <v>28</v>
      </c>
      <c r="BG54" s="11">
        <v>0</v>
      </c>
      <c r="BH54" s="11">
        <v>0</v>
      </c>
      <c r="BI54" s="11">
        <v>0</v>
      </c>
      <c r="BJ54" s="11">
        <v>0</v>
      </c>
      <c r="BK54" s="11">
        <v>4</v>
      </c>
      <c r="BL54" s="11"/>
      <c r="BM54" s="11">
        <v>10</v>
      </c>
      <c r="BN54" s="2">
        <v>10</v>
      </c>
      <c r="BO54" s="2">
        <v>0</v>
      </c>
      <c r="BP54" s="2">
        <v>0</v>
      </c>
      <c r="BQ54" s="2">
        <v>0</v>
      </c>
      <c r="BR54" s="2">
        <v>0</v>
      </c>
      <c r="BS54" s="2"/>
      <c r="BT54" s="2"/>
      <c r="BU54" s="2"/>
      <c r="BV54" s="2"/>
      <c r="BW54" s="2"/>
      <c r="BX54" s="2"/>
      <c r="BY54" s="2"/>
      <c r="BZ54" s="2">
        <v>0</v>
      </c>
      <c r="CA54" s="2">
        <v>7</v>
      </c>
      <c r="CB54" s="2"/>
      <c r="CC54" s="2">
        <v>4</v>
      </c>
      <c r="CD54" s="2">
        <v>0</v>
      </c>
      <c r="CE54" s="2">
        <v>0</v>
      </c>
      <c r="CF54" s="2"/>
      <c r="CG54" s="2"/>
      <c r="CH54" s="2"/>
      <c r="CI54" s="2"/>
      <c r="CJ54" s="2"/>
      <c r="CK54" s="2"/>
      <c r="CL54" s="2"/>
      <c r="CM54" s="2"/>
      <c r="CN54" s="2"/>
      <c r="CO54" s="10">
        <v>8</v>
      </c>
      <c r="CP54" s="3"/>
      <c r="CQ54" s="3"/>
      <c r="CR54" s="2">
        <v>19</v>
      </c>
      <c r="CS54" s="2"/>
      <c r="CT54" s="2">
        <v>50</v>
      </c>
      <c r="CU54" s="2">
        <v>0</v>
      </c>
      <c r="CV54" s="2">
        <v>25</v>
      </c>
      <c r="CW54" s="2">
        <v>19</v>
      </c>
      <c r="CX54" s="2">
        <v>0</v>
      </c>
      <c r="CY54" s="2">
        <v>10</v>
      </c>
      <c r="CZ54" s="2">
        <v>0</v>
      </c>
      <c r="DA54" s="2"/>
      <c r="DB54" s="2"/>
      <c r="DC54" s="2"/>
      <c r="DD54" s="2">
        <v>4</v>
      </c>
      <c r="DE54" s="2">
        <v>4</v>
      </c>
      <c r="DF54" s="2"/>
      <c r="DG54" s="2"/>
      <c r="DH54" s="2"/>
      <c r="DI54" s="2"/>
      <c r="DJ54" s="2"/>
      <c r="DK54" s="2">
        <v>0</v>
      </c>
      <c r="DL54" s="2">
        <v>0</v>
      </c>
      <c r="DM54" s="2">
        <v>75</v>
      </c>
      <c r="DN54" s="2">
        <v>41</v>
      </c>
      <c r="DO54" s="2">
        <v>1</v>
      </c>
      <c r="DP54" s="2">
        <v>0</v>
      </c>
      <c r="DQ54" s="2">
        <v>0</v>
      </c>
      <c r="DR54" s="2"/>
      <c r="DS54" s="2">
        <v>69</v>
      </c>
      <c r="DT54" s="2">
        <v>11</v>
      </c>
      <c r="DU54" s="2">
        <v>4</v>
      </c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>
        <v>14</v>
      </c>
      <c r="EM54" s="2"/>
      <c r="EN54" s="2"/>
      <c r="EO54" s="2">
        <v>0</v>
      </c>
      <c r="EP54" s="2"/>
      <c r="EQ54" s="2"/>
      <c r="ER54" s="2">
        <v>2</v>
      </c>
      <c r="ES54" s="2">
        <v>12</v>
      </c>
      <c r="ET54" s="2"/>
      <c r="EU54" s="2">
        <v>61</v>
      </c>
      <c r="EV54" s="2"/>
      <c r="EW54" s="2">
        <v>29</v>
      </c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>
        <f t="shared" si="5"/>
        <v>78</v>
      </c>
    </row>
    <row r="55" spans="1:167" ht="14.6">
      <c r="A55" s="3" t="s">
        <v>101</v>
      </c>
      <c r="B55" s="2">
        <v>27.680050600000001</v>
      </c>
      <c r="C55" s="2">
        <v>85.326177000000001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>
        <v>15</v>
      </c>
      <c r="AU55" s="2">
        <v>0.6</v>
      </c>
      <c r="AW55" s="2">
        <v>6.4</v>
      </c>
      <c r="AY55" s="2">
        <v>25</v>
      </c>
      <c r="AZ55" s="2">
        <v>1.7</v>
      </c>
      <c r="BA55" s="2">
        <v>2</v>
      </c>
      <c r="BC55" s="11"/>
      <c r="BD55" s="11"/>
      <c r="BE55" s="11"/>
      <c r="BF55" s="11"/>
      <c r="BG55" s="11">
        <v>12.5</v>
      </c>
      <c r="BH55" s="11">
        <v>9</v>
      </c>
      <c r="BI55" s="11">
        <v>9.1999999999999993</v>
      </c>
      <c r="BJ55" s="11"/>
      <c r="BK55" s="11"/>
      <c r="BL55" s="11"/>
      <c r="BM55" s="11"/>
      <c r="BP55" s="2">
        <v>6</v>
      </c>
      <c r="BS55" s="2">
        <v>11</v>
      </c>
      <c r="BT55" s="2">
        <v>0.4</v>
      </c>
      <c r="BU55" s="2">
        <v>43</v>
      </c>
      <c r="BV55" s="2">
        <v>7.2</v>
      </c>
      <c r="BW55" s="2">
        <v>5</v>
      </c>
      <c r="BZ55" s="2">
        <v>41</v>
      </c>
      <c r="CA55" s="2">
        <v>5</v>
      </c>
      <c r="CB55" s="2">
        <v>11</v>
      </c>
      <c r="CC55" s="2">
        <v>0.4</v>
      </c>
      <c r="CN55" s="2">
        <v>31</v>
      </c>
      <c r="CO55" s="10">
        <v>5</v>
      </c>
      <c r="CP55" s="3"/>
      <c r="CQ55" s="3"/>
      <c r="CU55" s="2">
        <v>3</v>
      </c>
      <c r="CV55" s="2">
        <v>17</v>
      </c>
      <c r="CW55" s="2">
        <v>2</v>
      </c>
      <c r="CY55" s="2">
        <v>6</v>
      </c>
      <c r="DB55" s="2">
        <v>1</v>
      </c>
      <c r="DC55" s="2">
        <v>5</v>
      </c>
      <c r="DD55" s="2">
        <v>3.5</v>
      </c>
      <c r="DE55" s="2">
        <v>17</v>
      </c>
      <c r="DI55" s="2">
        <v>6</v>
      </c>
      <c r="DJ55" s="2">
        <v>24</v>
      </c>
      <c r="DK55" s="2">
        <v>0.5</v>
      </c>
      <c r="DL55" s="2">
        <v>1</v>
      </c>
      <c r="DM55" s="2">
        <v>34</v>
      </c>
      <c r="DS55" s="2">
        <v>30</v>
      </c>
      <c r="DT55" s="2">
        <v>8.5</v>
      </c>
      <c r="DW55" s="2">
        <v>2</v>
      </c>
      <c r="FK55" s="2">
        <f t="shared" si="5"/>
        <v>37</v>
      </c>
    </row>
    <row r="56" spans="1:167" ht="14.6">
      <c r="A56" s="3" t="s">
        <v>103</v>
      </c>
      <c r="B56" s="10">
        <v>27.669335</v>
      </c>
      <c r="C56" s="10">
        <v>85.272198399999994</v>
      </c>
      <c r="T56" s="2">
        <v>0</v>
      </c>
      <c r="U56" s="2">
        <v>0</v>
      </c>
      <c r="V56" s="2">
        <v>0</v>
      </c>
      <c r="W56" s="2">
        <v>36</v>
      </c>
      <c r="X56" s="2">
        <v>14</v>
      </c>
      <c r="Y56" s="2">
        <v>5</v>
      </c>
      <c r="Z56" s="2">
        <v>4</v>
      </c>
      <c r="AA56" s="2">
        <v>4</v>
      </c>
      <c r="AB56" s="2">
        <v>0</v>
      </c>
      <c r="AC56" s="2">
        <v>0</v>
      </c>
      <c r="AD56" s="2">
        <v>0</v>
      </c>
      <c r="AE56" s="2">
        <v>0</v>
      </c>
      <c r="AF56" s="2">
        <v>26</v>
      </c>
      <c r="AG56" s="2">
        <v>25</v>
      </c>
      <c r="AH56" s="2">
        <v>8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4</v>
      </c>
      <c r="AV56" s="2">
        <v>10</v>
      </c>
      <c r="AW56" s="2">
        <v>9</v>
      </c>
      <c r="AX56" s="2">
        <v>2</v>
      </c>
      <c r="AY56" s="2">
        <v>5</v>
      </c>
      <c r="AZ56" s="2">
        <v>0</v>
      </c>
      <c r="BA56" s="2">
        <v>0</v>
      </c>
      <c r="BB56" s="2">
        <v>24</v>
      </c>
      <c r="BC56" s="4">
        <v>11</v>
      </c>
      <c r="BD56" s="4">
        <v>0</v>
      </c>
      <c r="BE56" s="4">
        <v>27</v>
      </c>
      <c r="BF56" s="4">
        <v>10</v>
      </c>
      <c r="BG56" s="11">
        <v>3</v>
      </c>
      <c r="BH56" s="11">
        <v>6</v>
      </c>
      <c r="BI56" s="11">
        <v>8</v>
      </c>
      <c r="BJ56" s="11">
        <v>3</v>
      </c>
      <c r="BK56" s="4">
        <v>0</v>
      </c>
      <c r="BL56" s="4">
        <v>24</v>
      </c>
      <c r="BM56" s="4">
        <v>0</v>
      </c>
      <c r="BN56" s="2">
        <v>7</v>
      </c>
      <c r="BO56" s="2">
        <v>0</v>
      </c>
      <c r="BP56" s="2">
        <v>15</v>
      </c>
      <c r="BQ56" s="2">
        <v>17</v>
      </c>
      <c r="BR56" s="2">
        <v>0</v>
      </c>
      <c r="BS56" s="2">
        <v>11</v>
      </c>
      <c r="BT56" s="2">
        <v>0</v>
      </c>
      <c r="BU56" s="2">
        <v>85</v>
      </c>
      <c r="BV56" s="2">
        <v>3</v>
      </c>
      <c r="BW56" s="2">
        <v>3</v>
      </c>
      <c r="BX56" s="2">
        <v>0</v>
      </c>
      <c r="BY56" s="2">
        <v>0</v>
      </c>
      <c r="BZ56" s="2">
        <v>49</v>
      </c>
      <c r="CA56" s="2">
        <v>15</v>
      </c>
      <c r="CB56" s="2">
        <v>25</v>
      </c>
      <c r="CC56" s="2">
        <v>0</v>
      </c>
      <c r="CD56" s="2">
        <v>4</v>
      </c>
      <c r="CE56" s="2">
        <v>0</v>
      </c>
      <c r="CF56" s="2">
        <v>6</v>
      </c>
      <c r="CG56" s="2">
        <v>0</v>
      </c>
      <c r="CH56" s="2">
        <v>23</v>
      </c>
      <c r="CI56" s="2">
        <v>0</v>
      </c>
      <c r="CJ56" s="2">
        <v>0</v>
      </c>
      <c r="CK56" s="2">
        <v>3</v>
      </c>
      <c r="CL56" s="2">
        <v>33</v>
      </c>
      <c r="CM56" s="2">
        <v>0</v>
      </c>
      <c r="CN56" s="2">
        <v>42</v>
      </c>
      <c r="CO56" s="10">
        <v>8</v>
      </c>
      <c r="CP56" s="10">
        <v>0</v>
      </c>
      <c r="CQ56" s="3">
        <v>8</v>
      </c>
      <c r="CR56" s="2">
        <v>0</v>
      </c>
      <c r="CS56" s="2">
        <v>0</v>
      </c>
      <c r="CU56" s="2">
        <v>9</v>
      </c>
      <c r="CV56" s="2">
        <v>17</v>
      </c>
      <c r="CW56" s="2">
        <v>20</v>
      </c>
      <c r="CX56" s="2">
        <v>0</v>
      </c>
      <c r="CY56" s="2">
        <v>15</v>
      </c>
      <c r="DA56" s="2">
        <v>0</v>
      </c>
      <c r="DB56" s="2">
        <v>0</v>
      </c>
      <c r="DC56" s="2">
        <v>7</v>
      </c>
      <c r="DD56" s="2">
        <v>13</v>
      </c>
      <c r="DE56" s="2">
        <v>16</v>
      </c>
      <c r="DF56" s="2">
        <v>0</v>
      </c>
      <c r="DG56" s="2">
        <v>0</v>
      </c>
      <c r="DH56" s="2">
        <v>0</v>
      </c>
      <c r="DI56" s="2">
        <v>4</v>
      </c>
      <c r="DJ56" s="2">
        <v>38</v>
      </c>
      <c r="DK56" s="2">
        <v>0</v>
      </c>
      <c r="DL56" s="2">
        <v>0</v>
      </c>
      <c r="DM56" s="2">
        <v>16</v>
      </c>
      <c r="DN56" s="2">
        <v>12</v>
      </c>
      <c r="DO56" s="2">
        <v>5</v>
      </c>
      <c r="DP56" s="2">
        <v>0</v>
      </c>
      <c r="DQ56" s="2">
        <v>0</v>
      </c>
      <c r="DR56" s="2">
        <v>0</v>
      </c>
      <c r="DS56" s="2">
        <v>22</v>
      </c>
      <c r="DT56" s="2">
        <v>4</v>
      </c>
      <c r="DU56" s="2">
        <v>2</v>
      </c>
      <c r="DV56" s="2">
        <v>5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3</v>
      </c>
      <c r="EC56" s="2">
        <v>3</v>
      </c>
      <c r="ED56" s="2">
        <v>0</v>
      </c>
      <c r="EE56" s="2">
        <v>0</v>
      </c>
      <c r="EF56" s="2">
        <v>0</v>
      </c>
      <c r="EG56" s="2">
        <v>0</v>
      </c>
      <c r="EH56" s="2">
        <v>3</v>
      </c>
      <c r="EI56" s="2">
        <v>0</v>
      </c>
      <c r="EJ56" s="2">
        <v>0</v>
      </c>
      <c r="EK56" s="2">
        <v>22</v>
      </c>
      <c r="EL56" s="2">
        <v>24</v>
      </c>
      <c r="EM56" s="2">
        <v>17</v>
      </c>
      <c r="EN56" s="2">
        <v>2</v>
      </c>
      <c r="EO56" s="2">
        <v>0</v>
      </c>
      <c r="EP56" s="2">
        <v>4</v>
      </c>
      <c r="EQ56" s="2">
        <v>0</v>
      </c>
      <c r="ER56" s="2">
        <v>0</v>
      </c>
      <c r="ES56" s="2">
        <v>0</v>
      </c>
      <c r="FK56" s="2">
        <f t="shared" si="5"/>
        <v>128</v>
      </c>
    </row>
    <row r="57" spans="1:167" ht="14.6">
      <c r="A57" s="3" t="s">
        <v>105</v>
      </c>
      <c r="B57" s="10">
        <v>27.682535000000001</v>
      </c>
      <c r="C57" s="10">
        <v>85.445298300000005</v>
      </c>
      <c r="D57" s="2">
        <v>10</v>
      </c>
      <c r="E57" s="2">
        <v>6</v>
      </c>
      <c r="F57" s="2"/>
      <c r="G57" s="2"/>
      <c r="H57" s="2">
        <v>34</v>
      </c>
      <c r="I57" s="2">
        <v>6</v>
      </c>
      <c r="J57" s="2">
        <v>15</v>
      </c>
      <c r="K57" s="2">
        <v>0</v>
      </c>
      <c r="L57" s="2"/>
      <c r="M57" s="2"/>
      <c r="N57" s="2">
        <v>0</v>
      </c>
      <c r="O57" s="2">
        <v>0</v>
      </c>
      <c r="P57" s="2"/>
      <c r="Q57" s="2">
        <v>0</v>
      </c>
      <c r="R57" s="30">
        <v>28</v>
      </c>
      <c r="S57" s="31"/>
      <c r="T57" s="2"/>
      <c r="U57" s="2">
        <v>2</v>
      </c>
      <c r="V57" s="2">
        <v>2</v>
      </c>
      <c r="W57" s="2">
        <v>22</v>
      </c>
      <c r="X57" s="2">
        <v>8</v>
      </c>
      <c r="Y57" s="2">
        <v>9</v>
      </c>
      <c r="Z57" s="2">
        <v>3</v>
      </c>
      <c r="AA57" s="2">
        <v>36</v>
      </c>
      <c r="AB57" s="2"/>
      <c r="AC57" s="2">
        <v>6</v>
      </c>
      <c r="AD57" s="2"/>
      <c r="AE57" s="2"/>
      <c r="AF57" s="2"/>
      <c r="AG57" s="2">
        <v>4</v>
      </c>
      <c r="AH57" s="2"/>
      <c r="AI57" s="2"/>
      <c r="AJ57" s="2"/>
      <c r="AK57" s="2">
        <v>0</v>
      </c>
      <c r="AL57" s="2">
        <v>3</v>
      </c>
      <c r="AM57" s="2">
        <v>25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28</v>
      </c>
      <c r="AU57" s="2">
        <v>10</v>
      </c>
      <c r="AV57" s="2">
        <v>20</v>
      </c>
      <c r="AW57" s="2">
        <v>14</v>
      </c>
      <c r="AX57" s="2">
        <v>24</v>
      </c>
      <c r="AY57" s="2">
        <v>41</v>
      </c>
      <c r="AZ57" s="2">
        <v>0</v>
      </c>
      <c r="BA57" s="2">
        <v>4</v>
      </c>
      <c r="BB57" s="2">
        <v>74</v>
      </c>
      <c r="BC57" s="4">
        <v>36</v>
      </c>
      <c r="BD57" s="4">
        <v>2</v>
      </c>
      <c r="BE57" s="4">
        <v>53</v>
      </c>
      <c r="BF57" s="11">
        <v>31</v>
      </c>
      <c r="BG57" s="11">
        <v>21</v>
      </c>
      <c r="BH57" s="11">
        <v>28</v>
      </c>
      <c r="BI57" s="11">
        <v>14</v>
      </c>
      <c r="BJ57" s="11">
        <v>6</v>
      </c>
      <c r="BK57" s="4">
        <v>7</v>
      </c>
      <c r="BL57" s="11">
        <v>20</v>
      </c>
      <c r="BM57" s="11">
        <v>9</v>
      </c>
      <c r="BN57" s="2">
        <v>11</v>
      </c>
      <c r="BO57" s="2">
        <v>2</v>
      </c>
      <c r="BP57" s="2">
        <v>3</v>
      </c>
      <c r="BQ57" s="2">
        <v>24</v>
      </c>
      <c r="BR57" s="2">
        <v>0</v>
      </c>
      <c r="BS57" s="2">
        <v>14</v>
      </c>
      <c r="BT57" s="2">
        <v>0</v>
      </c>
      <c r="BU57" s="2">
        <v>44</v>
      </c>
      <c r="BV57" s="2">
        <v>17</v>
      </c>
      <c r="BW57" s="2">
        <v>27</v>
      </c>
      <c r="BX57" s="2">
        <v>1</v>
      </c>
      <c r="BY57" s="2">
        <v>0</v>
      </c>
      <c r="BZ57" s="2">
        <v>9</v>
      </c>
      <c r="CA57" s="2">
        <v>11</v>
      </c>
      <c r="CB57" s="2">
        <v>7</v>
      </c>
      <c r="CC57" s="2"/>
      <c r="CD57" s="2">
        <v>0</v>
      </c>
      <c r="CE57" s="2">
        <v>0</v>
      </c>
      <c r="CF57" s="2">
        <v>5</v>
      </c>
      <c r="CG57" s="2">
        <v>0</v>
      </c>
      <c r="CH57" s="2">
        <v>5</v>
      </c>
      <c r="CI57" s="2">
        <v>0</v>
      </c>
      <c r="CJ57" s="2">
        <v>0</v>
      </c>
      <c r="CK57" s="2">
        <v>0</v>
      </c>
      <c r="CL57" s="2">
        <v>6</v>
      </c>
      <c r="CM57" s="2">
        <v>0</v>
      </c>
      <c r="CN57" s="2">
        <v>21</v>
      </c>
      <c r="CO57" s="10">
        <v>14</v>
      </c>
      <c r="CP57" s="10">
        <v>10</v>
      </c>
      <c r="CQ57" s="3">
        <v>7</v>
      </c>
      <c r="CR57" s="2">
        <v>23</v>
      </c>
      <c r="CS57" s="2">
        <v>3</v>
      </c>
      <c r="CT57" s="2">
        <v>55</v>
      </c>
      <c r="CU57" s="2">
        <v>6</v>
      </c>
      <c r="CV57" s="2">
        <v>17</v>
      </c>
      <c r="CW57" s="2">
        <v>7</v>
      </c>
      <c r="CX57" s="2">
        <v>0</v>
      </c>
      <c r="CY57" s="2">
        <v>17</v>
      </c>
      <c r="CZ57" s="2">
        <v>3</v>
      </c>
      <c r="DA57" s="2">
        <v>3</v>
      </c>
      <c r="DB57" s="2">
        <v>10</v>
      </c>
      <c r="DC57" s="2">
        <v>23</v>
      </c>
      <c r="DD57" s="2">
        <v>6</v>
      </c>
      <c r="DE57" s="2">
        <v>8</v>
      </c>
      <c r="DF57" s="2">
        <v>7</v>
      </c>
      <c r="DG57" s="2">
        <v>31</v>
      </c>
      <c r="DH57" s="2">
        <v>3</v>
      </c>
      <c r="DI57" s="2">
        <v>10</v>
      </c>
      <c r="DJ57" s="2">
        <v>30</v>
      </c>
      <c r="DK57" s="2">
        <v>0</v>
      </c>
      <c r="DL57" s="2">
        <v>11</v>
      </c>
      <c r="DM57" s="2">
        <v>84</v>
      </c>
      <c r="DN57" s="2">
        <v>42</v>
      </c>
      <c r="DO57" s="2">
        <v>3</v>
      </c>
      <c r="DP57" s="2">
        <v>0</v>
      </c>
      <c r="DQ57" s="2"/>
      <c r="DR57" s="2">
        <v>0</v>
      </c>
      <c r="DS57" s="2">
        <v>61</v>
      </c>
      <c r="DT57" s="2">
        <v>11</v>
      </c>
      <c r="DU57" s="2"/>
      <c r="DV57" s="2">
        <v>40</v>
      </c>
      <c r="DW57" s="2">
        <v>14</v>
      </c>
      <c r="DX57" s="2">
        <v>0</v>
      </c>
      <c r="DY57" s="2">
        <v>0</v>
      </c>
      <c r="DZ57" s="2">
        <v>10</v>
      </c>
      <c r="EA57" s="2">
        <v>0</v>
      </c>
      <c r="EB57" s="2">
        <v>12</v>
      </c>
      <c r="EC57" s="2">
        <v>22</v>
      </c>
      <c r="ED57" s="2">
        <v>22</v>
      </c>
      <c r="EE57" s="2">
        <v>6</v>
      </c>
      <c r="EF57" s="2">
        <v>3</v>
      </c>
      <c r="EG57" s="2"/>
      <c r="EH57" s="2">
        <v>0</v>
      </c>
      <c r="EI57" s="2"/>
      <c r="EJ57" s="2">
        <v>0</v>
      </c>
      <c r="EK57" s="2">
        <v>7</v>
      </c>
      <c r="EL57" s="2">
        <v>12</v>
      </c>
      <c r="EM57" s="2">
        <v>13</v>
      </c>
      <c r="EN57" s="2">
        <v>38</v>
      </c>
      <c r="EO57" s="2">
        <v>1</v>
      </c>
      <c r="EP57" s="2">
        <v>3</v>
      </c>
      <c r="EQ57" s="2"/>
      <c r="ER57" s="2">
        <v>5</v>
      </c>
      <c r="ES57" s="2">
        <v>35</v>
      </c>
      <c r="ET57" s="2"/>
      <c r="EU57" s="2"/>
      <c r="EV57" s="2"/>
      <c r="EW57" s="2"/>
      <c r="EX57" s="2">
        <v>32</v>
      </c>
      <c r="EY57" s="30">
        <v>61</v>
      </c>
      <c r="EZ57" s="31"/>
      <c r="FA57" s="30">
        <v>26</v>
      </c>
      <c r="FB57" s="31"/>
      <c r="FC57" s="2">
        <v>6</v>
      </c>
      <c r="FD57" s="2">
        <v>112</v>
      </c>
      <c r="FE57" s="2">
        <v>30</v>
      </c>
      <c r="FF57" s="2">
        <v>4</v>
      </c>
      <c r="FG57" s="2">
        <v>0</v>
      </c>
      <c r="FH57" s="2">
        <v>0</v>
      </c>
      <c r="FI57" s="2"/>
      <c r="FJ57" s="2">
        <v>0</v>
      </c>
      <c r="FK57" s="2">
        <f>COUNT(D57:FJ57)</f>
        <v>136</v>
      </c>
    </row>
    <row r="58" spans="1:167" ht="14.6">
      <c r="A58" s="3" t="s">
        <v>107</v>
      </c>
      <c r="B58" s="19">
        <v>27.686146000000001</v>
      </c>
      <c r="C58" s="2">
        <v>85.279221000000007</v>
      </c>
      <c r="D58" s="2"/>
      <c r="E58" s="2"/>
      <c r="H58" s="2"/>
      <c r="I58" s="2"/>
      <c r="J58" s="2"/>
      <c r="K58" s="2"/>
      <c r="N58" s="2"/>
      <c r="O58" s="2"/>
      <c r="Q58" s="2"/>
      <c r="R58" s="2"/>
      <c r="S58" s="2"/>
      <c r="U58" s="2"/>
      <c r="V58" s="2"/>
      <c r="W58" s="2"/>
      <c r="X58" s="2"/>
      <c r="Y58" s="2"/>
      <c r="Z58" s="2"/>
      <c r="AA58" s="2"/>
      <c r="AB58" s="2">
        <v>7</v>
      </c>
      <c r="AC58" s="2">
        <v>0</v>
      </c>
      <c r="AG58" s="2"/>
      <c r="AI58" s="2">
        <v>0</v>
      </c>
      <c r="AJ58" s="2">
        <v>0</v>
      </c>
      <c r="AK58" s="2">
        <v>0</v>
      </c>
      <c r="AL58" s="2">
        <v>4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15</v>
      </c>
      <c r="AV58" s="2">
        <v>4</v>
      </c>
      <c r="AW58" s="2">
        <v>7</v>
      </c>
      <c r="AX58" s="2">
        <v>0</v>
      </c>
      <c r="AY58" s="2">
        <v>15</v>
      </c>
      <c r="AZ58" s="2">
        <v>0</v>
      </c>
      <c r="BA58" s="2">
        <v>0</v>
      </c>
      <c r="BB58" s="2">
        <v>21</v>
      </c>
      <c r="BC58" s="15">
        <v>17</v>
      </c>
      <c r="BD58" s="15">
        <v>2</v>
      </c>
      <c r="BE58" s="15">
        <v>43</v>
      </c>
      <c r="BF58" s="15">
        <v>14</v>
      </c>
      <c r="BG58" s="15">
        <v>5</v>
      </c>
      <c r="BH58" s="15">
        <v>5</v>
      </c>
      <c r="BI58" s="11"/>
      <c r="BJ58" s="4">
        <v>5</v>
      </c>
      <c r="BK58" s="11"/>
      <c r="BL58" s="4">
        <v>12</v>
      </c>
      <c r="BM58" s="4">
        <v>0</v>
      </c>
      <c r="BN58" s="2">
        <v>9</v>
      </c>
      <c r="BP58" s="2">
        <v>35</v>
      </c>
      <c r="BQ58" s="2">
        <v>18</v>
      </c>
      <c r="BR58" s="2">
        <v>0</v>
      </c>
      <c r="BS58" s="2">
        <v>13</v>
      </c>
      <c r="BT58" s="2">
        <v>0</v>
      </c>
      <c r="BU58" s="2">
        <v>41</v>
      </c>
      <c r="BV58" s="2">
        <v>2</v>
      </c>
      <c r="BW58" s="2">
        <v>4</v>
      </c>
      <c r="BX58" s="2">
        <v>20.5</v>
      </c>
      <c r="BY58" s="2">
        <v>0</v>
      </c>
      <c r="BZ58" s="2">
        <v>29.5</v>
      </c>
      <c r="CA58" s="2">
        <v>5</v>
      </c>
      <c r="CB58" s="2">
        <v>18</v>
      </c>
      <c r="CC58" s="2">
        <v>0</v>
      </c>
      <c r="CD58" s="2">
        <v>0</v>
      </c>
      <c r="CE58" s="2">
        <v>0</v>
      </c>
      <c r="CF58" s="2">
        <v>2</v>
      </c>
      <c r="CG58" s="2">
        <v>0</v>
      </c>
      <c r="CH58" s="2">
        <v>13</v>
      </c>
      <c r="CI58" s="2">
        <v>0</v>
      </c>
      <c r="CJ58" s="2">
        <v>0</v>
      </c>
      <c r="CK58" s="2">
        <v>5</v>
      </c>
      <c r="CL58" s="2">
        <v>8</v>
      </c>
      <c r="CM58" s="2">
        <v>2</v>
      </c>
      <c r="CN58" s="2">
        <v>31</v>
      </c>
      <c r="CO58" s="10">
        <v>9</v>
      </c>
      <c r="CP58" s="10">
        <v>0</v>
      </c>
      <c r="CQ58" s="10">
        <v>3</v>
      </c>
      <c r="CR58" s="2">
        <v>1</v>
      </c>
      <c r="CS58" s="2">
        <v>0</v>
      </c>
      <c r="CT58" s="2">
        <v>22</v>
      </c>
      <c r="CU58" s="2">
        <v>19</v>
      </c>
      <c r="CV58" s="2">
        <v>3</v>
      </c>
      <c r="CW58" s="2">
        <v>7</v>
      </c>
      <c r="CX58" s="2">
        <v>0</v>
      </c>
      <c r="CY58" s="2">
        <v>23</v>
      </c>
      <c r="CZ58" s="2">
        <v>10</v>
      </c>
      <c r="DA58" s="2">
        <v>0</v>
      </c>
      <c r="DB58" s="2">
        <v>2</v>
      </c>
      <c r="DC58" s="2">
        <v>5</v>
      </c>
      <c r="DD58" s="2">
        <v>6</v>
      </c>
      <c r="DE58" s="2">
        <v>11</v>
      </c>
      <c r="DF58" s="2">
        <v>0</v>
      </c>
      <c r="DG58" s="2">
        <v>3</v>
      </c>
      <c r="DH58" s="2">
        <v>3</v>
      </c>
      <c r="DI58" s="2">
        <v>5</v>
      </c>
      <c r="DJ58" s="2">
        <v>32</v>
      </c>
      <c r="DK58" s="2">
        <v>4</v>
      </c>
      <c r="DL58" s="2">
        <v>0</v>
      </c>
      <c r="DM58" s="2">
        <v>22</v>
      </c>
      <c r="DN58" s="2">
        <v>23</v>
      </c>
      <c r="DO58" s="2">
        <v>0</v>
      </c>
      <c r="DP58" s="2">
        <v>0</v>
      </c>
      <c r="DQ58" s="2">
        <v>0</v>
      </c>
      <c r="DR58" s="2">
        <v>0</v>
      </c>
      <c r="DS58" s="2">
        <v>21</v>
      </c>
      <c r="DT58" s="2">
        <v>4.5</v>
      </c>
      <c r="DU58" s="2">
        <v>3</v>
      </c>
      <c r="DV58" s="2">
        <v>4.5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4</v>
      </c>
      <c r="EC58" s="2">
        <v>0</v>
      </c>
      <c r="ED58" s="2">
        <v>0</v>
      </c>
      <c r="EE58" s="2">
        <v>0</v>
      </c>
      <c r="EF58" s="2">
        <v>0</v>
      </c>
      <c r="EG58" s="2">
        <v>3</v>
      </c>
      <c r="EH58" s="2">
        <v>2</v>
      </c>
      <c r="EI58" s="2">
        <v>4</v>
      </c>
      <c r="EJ58" s="2">
        <v>0</v>
      </c>
      <c r="EK58" s="2">
        <v>28</v>
      </c>
      <c r="EL58" s="2">
        <v>21</v>
      </c>
      <c r="EM58" s="2">
        <v>42</v>
      </c>
      <c r="EN58" s="2">
        <v>3</v>
      </c>
      <c r="EO58" s="2">
        <v>0</v>
      </c>
      <c r="EP58" s="2">
        <v>3</v>
      </c>
      <c r="EQ58" s="2">
        <v>0</v>
      </c>
      <c r="ES58" s="2">
        <v>0</v>
      </c>
      <c r="ET58" s="2">
        <v>0</v>
      </c>
      <c r="EU58" s="2">
        <v>7</v>
      </c>
      <c r="EV58" s="2">
        <v>0</v>
      </c>
      <c r="EW58" s="2">
        <v>0</v>
      </c>
      <c r="EX58" s="2">
        <v>0</v>
      </c>
      <c r="EY58" s="2">
        <v>16</v>
      </c>
      <c r="EZ58" s="2">
        <v>0</v>
      </c>
      <c r="FA58" s="2">
        <v>4</v>
      </c>
      <c r="FB58" s="2">
        <v>20</v>
      </c>
      <c r="FC58" s="2">
        <v>3</v>
      </c>
      <c r="FD58" s="2">
        <v>34</v>
      </c>
      <c r="FE58" s="2">
        <v>103</v>
      </c>
      <c r="FH58" s="2">
        <v>4</v>
      </c>
      <c r="FK58" s="2">
        <f>COUNT(D58:FI58)</f>
        <v>126</v>
      </c>
    </row>
    <row r="59" spans="1:167" ht="12.45">
      <c r="CO59" s="3"/>
      <c r="CP59" s="3"/>
      <c r="CQ59" s="3"/>
    </row>
    <row r="60" spans="1:167" ht="12.45">
      <c r="CO60" s="3"/>
      <c r="CP60" s="3"/>
      <c r="CQ60" s="3"/>
    </row>
    <row r="61" spans="1:167" ht="14.6">
      <c r="BF61" s="4"/>
      <c r="CO61" s="3"/>
      <c r="CP61" s="3"/>
      <c r="CQ61" s="3"/>
      <c r="FK61" s="2">
        <f>MAX(FK2:FK58)</f>
        <v>156</v>
      </c>
    </row>
    <row r="62" spans="1:167" ht="14.6">
      <c r="BF62" s="4"/>
      <c r="CO62" s="3"/>
      <c r="CP62" s="3"/>
      <c r="CQ62" s="3"/>
    </row>
    <row r="63" spans="1:167" ht="12.45">
      <c r="CO63" s="3"/>
      <c r="CP63" s="3"/>
      <c r="CQ63" s="3"/>
    </row>
    <row r="64" spans="1:167" ht="12.45">
      <c r="CO64" s="3"/>
      <c r="CP64" s="3"/>
      <c r="CQ64" s="3"/>
    </row>
    <row r="65" spans="93:95" ht="12.45">
      <c r="CO65" s="3"/>
      <c r="CP65" s="3"/>
      <c r="CQ65" s="3"/>
    </row>
    <row r="66" spans="93:95" ht="12.45">
      <c r="CO66" s="3"/>
      <c r="CP66" s="3"/>
      <c r="CQ66" s="3"/>
    </row>
    <row r="67" spans="93:95" ht="12.45">
      <c r="CO67" s="3"/>
      <c r="CP67" s="3"/>
      <c r="CQ67" s="3"/>
    </row>
    <row r="68" spans="93:95" ht="12.45">
      <c r="CO68" s="3"/>
      <c r="CP68" s="3"/>
      <c r="CQ68" s="3"/>
    </row>
    <row r="69" spans="93:95" ht="12.45">
      <c r="CO69" s="3"/>
      <c r="CP69" s="3"/>
      <c r="CQ69" s="3"/>
    </row>
    <row r="70" spans="93:95" ht="12.45">
      <c r="CO70" s="3"/>
      <c r="CP70" s="3"/>
      <c r="CQ70" s="3"/>
    </row>
    <row r="71" spans="93:95" ht="12.45">
      <c r="CO71" s="3"/>
      <c r="CP71" s="3"/>
      <c r="CQ71" s="3"/>
    </row>
    <row r="72" spans="93:95" ht="12.45">
      <c r="CO72" s="3"/>
      <c r="CP72" s="3"/>
      <c r="CQ72" s="3"/>
    </row>
    <row r="73" spans="93:95" ht="12.45">
      <c r="CO73" s="3"/>
      <c r="CP73" s="3"/>
      <c r="CQ73" s="3"/>
    </row>
    <row r="74" spans="93:95" ht="12.45">
      <c r="CO74" s="3"/>
      <c r="CP74" s="3"/>
      <c r="CQ74" s="3"/>
    </row>
    <row r="75" spans="93:95" ht="12.45">
      <c r="CO75" s="3"/>
      <c r="CP75" s="3"/>
      <c r="CQ75" s="3"/>
    </row>
    <row r="76" spans="93:95" ht="12.45">
      <c r="CO76" s="3"/>
      <c r="CP76" s="3"/>
      <c r="CQ76" s="3"/>
    </row>
    <row r="77" spans="93:95" ht="12.45">
      <c r="CO77" s="3"/>
      <c r="CP77" s="3"/>
      <c r="CQ77" s="3"/>
    </row>
    <row r="78" spans="93:95" ht="12.45">
      <c r="CO78" s="3"/>
      <c r="CP78" s="3"/>
      <c r="CQ78" s="3"/>
    </row>
    <row r="79" spans="93:95" ht="12.45">
      <c r="CO79" s="3"/>
      <c r="CP79" s="3"/>
      <c r="CQ79" s="3"/>
    </row>
    <row r="80" spans="93:95" ht="12.45">
      <c r="CO80" s="3"/>
      <c r="CP80" s="3"/>
      <c r="CQ80" s="3"/>
    </row>
    <row r="81" spans="93:95" ht="12.45">
      <c r="CO81" s="3"/>
      <c r="CP81" s="3"/>
      <c r="CQ81" s="3"/>
    </row>
    <row r="82" spans="93:95" ht="12.45">
      <c r="CO82" s="3"/>
      <c r="CP82" s="3"/>
      <c r="CQ82" s="3"/>
    </row>
    <row r="83" spans="93:95" ht="12.45">
      <c r="CO83" s="3"/>
      <c r="CP83" s="3"/>
      <c r="CQ83" s="3"/>
    </row>
    <row r="84" spans="93:95" ht="12.45">
      <c r="CO84" s="3"/>
      <c r="CP84" s="3"/>
      <c r="CQ84" s="3"/>
    </row>
    <row r="85" spans="93:95" ht="12.45">
      <c r="CO85" s="3"/>
      <c r="CP85" s="3"/>
      <c r="CQ85" s="3"/>
    </row>
    <row r="86" spans="93:95" ht="12.45">
      <c r="CO86" s="3"/>
      <c r="CP86" s="3"/>
      <c r="CQ86" s="3"/>
    </row>
    <row r="87" spans="93:95" ht="12.45">
      <c r="CO87" s="3"/>
      <c r="CP87" s="3"/>
      <c r="CQ87" s="3"/>
    </row>
    <row r="88" spans="93:95" ht="12.45">
      <c r="CO88" s="3"/>
      <c r="CP88" s="3"/>
      <c r="CQ88" s="3"/>
    </row>
    <row r="89" spans="93:95" ht="12.45">
      <c r="CO89" s="3"/>
      <c r="CP89" s="3"/>
      <c r="CQ89" s="3"/>
    </row>
    <row r="90" spans="93:95" ht="12.45">
      <c r="CO90" s="3"/>
      <c r="CP90" s="3"/>
      <c r="CQ90" s="3"/>
    </row>
    <row r="91" spans="93:95" ht="12.45">
      <c r="CO91" s="3"/>
      <c r="CP91" s="3"/>
      <c r="CQ91" s="3"/>
    </row>
    <row r="92" spans="93:95" ht="12.45">
      <c r="CO92" s="3"/>
      <c r="CP92" s="3"/>
      <c r="CQ92" s="3"/>
    </row>
    <row r="93" spans="93:95" ht="12.45">
      <c r="CO93" s="3"/>
      <c r="CP93" s="3"/>
      <c r="CQ93" s="3"/>
    </row>
    <row r="94" spans="93:95" ht="12.45">
      <c r="CO94" s="3"/>
      <c r="CP94" s="3"/>
      <c r="CQ94" s="3"/>
    </row>
    <row r="95" spans="93:95" ht="12.45">
      <c r="CO95" s="3"/>
      <c r="CP95" s="3"/>
      <c r="CQ95" s="3"/>
    </row>
    <row r="96" spans="93:95" ht="12.45">
      <c r="CO96" s="3"/>
      <c r="CP96" s="3"/>
      <c r="CQ96" s="3"/>
    </row>
    <row r="97" spans="93:95" ht="12.45">
      <c r="CO97" s="3"/>
      <c r="CP97" s="3"/>
      <c r="CQ97" s="3"/>
    </row>
    <row r="98" spans="93:95" ht="12.45">
      <c r="CO98" s="3"/>
      <c r="CP98" s="3"/>
      <c r="CQ98" s="3"/>
    </row>
    <row r="99" spans="93:95" ht="12.45">
      <c r="CO99" s="3"/>
      <c r="CP99" s="3"/>
      <c r="CQ99" s="3"/>
    </row>
    <row r="100" spans="93:95" ht="12.45">
      <c r="CO100" s="3"/>
      <c r="CP100" s="3"/>
      <c r="CQ100" s="3"/>
    </row>
    <row r="101" spans="93:95" ht="12.45">
      <c r="CO101" s="3"/>
      <c r="CP101" s="3"/>
      <c r="CQ101" s="3"/>
    </row>
    <row r="102" spans="93:95" ht="12.45">
      <c r="CO102" s="3"/>
      <c r="CP102" s="3"/>
      <c r="CQ102" s="3"/>
    </row>
    <row r="103" spans="93:95" ht="12.45">
      <c r="CO103" s="3"/>
      <c r="CP103" s="3"/>
      <c r="CQ103" s="3"/>
    </row>
    <row r="104" spans="93:95" ht="12.45">
      <c r="CO104" s="3"/>
      <c r="CP104" s="3"/>
      <c r="CQ104" s="3"/>
    </row>
    <row r="105" spans="93:95" ht="12.45">
      <c r="CO105" s="3"/>
      <c r="CP105" s="3"/>
      <c r="CQ105" s="3"/>
    </row>
    <row r="106" spans="93:95" ht="12.45">
      <c r="CO106" s="3"/>
      <c r="CP106" s="3"/>
      <c r="CQ106" s="3"/>
    </row>
    <row r="107" spans="93:95" ht="12.45">
      <c r="CO107" s="3"/>
      <c r="CP107" s="3"/>
      <c r="CQ107" s="3"/>
    </row>
    <row r="108" spans="93:95" ht="12.45">
      <c r="CO108" s="3"/>
      <c r="CP108" s="3"/>
      <c r="CQ108" s="3"/>
    </row>
    <row r="109" spans="93:95" ht="12.45">
      <c r="CO109" s="3"/>
      <c r="CP109" s="3"/>
      <c r="CQ109" s="3"/>
    </row>
    <row r="110" spans="93:95" ht="12.45">
      <c r="CO110" s="3"/>
      <c r="CP110" s="3"/>
      <c r="CQ110" s="3"/>
    </row>
    <row r="111" spans="93:95" ht="12.45">
      <c r="CO111" s="3"/>
      <c r="CP111" s="3"/>
      <c r="CQ111" s="3"/>
    </row>
    <row r="112" spans="93:95" ht="12.45">
      <c r="CO112" s="3"/>
      <c r="CP112" s="3"/>
      <c r="CQ112" s="3"/>
    </row>
    <row r="113" spans="93:95" ht="12.45">
      <c r="CO113" s="3"/>
      <c r="CP113" s="3"/>
      <c r="CQ113" s="3"/>
    </row>
    <row r="114" spans="93:95" ht="12.45">
      <c r="CO114" s="3"/>
      <c r="CP114" s="3"/>
      <c r="CQ114" s="3"/>
    </row>
    <row r="115" spans="93:95" ht="12.45">
      <c r="CO115" s="3"/>
      <c r="CP115" s="3"/>
      <c r="CQ115" s="3"/>
    </row>
    <row r="116" spans="93:95" ht="12.45">
      <c r="CO116" s="3"/>
      <c r="CP116" s="3"/>
      <c r="CQ116" s="3"/>
    </row>
    <row r="117" spans="93:95" ht="12.45">
      <c r="CO117" s="3"/>
      <c r="CP117" s="3"/>
      <c r="CQ117" s="3"/>
    </row>
    <row r="118" spans="93:95" ht="12.45">
      <c r="CO118" s="3"/>
      <c r="CP118" s="3"/>
      <c r="CQ118" s="3"/>
    </row>
    <row r="119" spans="93:95" ht="12.45">
      <c r="CO119" s="3"/>
      <c r="CP119" s="3"/>
      <c r="CQ119" s="3"/>
    </row>
    <row r="120" spans="93:95" ht="12.45">
      <c r="CO120" s="3"/>
      <c r="CP120" s="3"/>
      <c r="CQ120" s="3"/>
    </row>
    <row r="121" spans="93:95" ht="12.45">
      <c r="CO121" s="3"/>
      <c r="CP121" s="3"/>
      <c r="CQ121" s="3"/>
    </row>
    <row r="122" spans="93:95" ht="12.45">
      <c r="CO122" s="3"/>
      <c r="CP122" s="3"/>
      <c r="CQ122" s="3"/>
    </row>
    <row r="123" spans="93:95" ht="12.45">
      <c r="CO123" s="3"/>
      <c r="CP123" s="3"/>
      <c r="CQ123" s="3"/>
    </row>
    <row r="124" spans="93:95" ht="12.45">
      <c r="CO124" s="3"/>
      <c r="CP124" s="3"/>
      <c r="CQ124" s="3"/>
    </row>
    <row r="125" spans="93:95" ht="12.45">
      <c r="CO125" s="3"/>
      <c r="CP125" s="3"/>
      <c r="CQ125" s="3"/>
    </row>
    <row r="126" spans="93:95" ht="12.45">
      <c r="CO126" s="3"/>
      <c r="CP126" s="3"/>
      <c r="CQ126" s="3"/>
    </row>
    <row r="127" spans="93:95" ht="12.45">
      <c r="CO127" s="3"/>
      <c r="CP127" s="3"/>
      <c r="CQ127" s="3"/>
    </row>
    <row r="128" spans="93:95" ht="12.45">
      <c r="CO128" s="3"/>
      <c r="CP128" s="3"/>
      <c r="CQ128" s="3"/>
    </row>
    <row r="129" spans="93:95" ht="12.45">
      <c r="CO129" s="3"/>
      <c r="CP129" s="3"/>
      <c r="CQ129" s="3"/>
    </row>
    <row r="130" spans="93:95" ht="12.45">
      <c r="CO130" s="3"/>
      <c r="CP130" s="3"/>
      <c r="CQ130" s="3"/>
    </row>
    <row r="131" spans="93:95" ht="12.45">
      <c r="CO131" s="3"/>
      <c r="CP131" s="3"/>
      <c r="CQ131" s="3"/>
    </row>
    <row r="132" spans="93:95" ht="12.45">
      <c r="CO132" s="3"/>
      <c r="CP132" s="3"/>
      <c r="CQ132" s="3"/>
    </row>
    <row r="133" spans="93:95" ht="12.45">
      <c r="CO133" s="3"/>
      <c r="CP133" s="3"/>
      <c r="CQ133" s="3"/>
    </row>
    <row r="134" spans="93:95" ht="12.45">
      <c r="CO134" s="3"/>
      <c r="CP134" s="3"/>
      <c r="CQ134" s="3"/>
    </row>
    <row r="135" spans="93:95" ht="12.45">
      <c r="CO135" s="3"/>
      <c r="CP135" s="3"/>
      <c r="CQ135" s="3"/>
    </row>
    <row r="136" spans="93:95" ht="12.45">
      <c r="CO136" s="3"/>
      <c r="CP136" s="3"/>
      <c r="CQ136" s="3"/>
    </row>
    <row r="137" spans="93:95" ht="12.45">
      <c r="CO137" s="3"/>
      <c r="CP137" s="3"/>
      <c r="CQ137" s="3"/>
    </row>
    <row r="138" spans="93:95" ht="12.45">
      <c r="CO138" s="3"/>
      <c r="CP138" s="3"/>
      <c r="CQ138" s="3"/>
    </row>
    <row r="139" spans="93:95" ht="12.45">
      <c r="CO139" s="3"/>
      <c r="CP139" s="3"/>
      <c r="CQ139" s="3"/>
    </row>
    <row r="140" spans="93:95" ht="12.45">
      <c r="CO140" s="3"/>
      <c r="CP140" s="3"/>
      <c r="CQ140" s="3"/>
    </row>
    <row r="141" spans="93:95" ht="12.45">
      <c r="CO141" s="3"/>
      <c r="CP141" s="3"/>
      <c r="CQ141" s="3"/>
    </row>
    <row r="142" spans="93:95" ht="12.45">
      <c r="CO142" s="3"/>
      <c r="CP142" s="3"/>
      <c r="CQ142" s="3"/>
    </row>
    <row r="143" spans="93:95" ht="12.45">
      <c r="CO143" s="3"/>
      <c r="CP143" s="3"/>
      <c r="CQ143" s="3"/>
    </row>
    <row r="144" spans="93:95" ht="12.45">
      <c r="CO144" s="3"/>
      <c r="CP144" s="3"/>
      <c r="CQ144" s="3"/>
    </row>
    <row r="145" spans="93:95" ht="12.45">
      <c r="CO145" s="3"/>
      <c r="CP145" s="3"/>
      <c r="CQ145" s="3"/>
    </row>
    <row r="146" spans="93:95" ht="12.45">
      <c r="CO146" s="3"/>
      <c r="CP146" s="3"/>
      <c r="CQ146" s="3"/>
    </row>
    <row r="147" spans="93:95" ht="12.45">
      <c r="CO147" s="3"/>
      <c r="CP147" s="3"/>
      <c r="CQ147" s="3"/>
    </row>
    <row r="148" spans="93:95" ht="12.45">
      <c r="CO148" s="3"/>
      <c r="CP148" s="3"/>
      <c r="CQ148" s="3"/>
    </row>
    <row r="149" spans="93:95" ht="12.45">
      <c r="CO149" s="3"/>
      <c r="CP149" s="3"/>
      <c r="CQ149" s="3"/>
    </row>
    <row r="150" spans="93:95" ht="12.45">
      <c r="CO150" s="3"/>
      <c r="CP150" s="3"/>
      <c r="CQ150" s="3"/>
    </row>
    <row r="151" spans="93:95" ht="12.45">
      <c r="CO151" s="3"/>
      <c r="CP151" s="3"/>
      <c r="CQ151" s="3"/>
    </row>
    <row r="152" spans="93:95" ht="12.45">
      <c r="CO152" s="3"/>
      <c r="CP152" s="3"/>
      <c r="CQ152" s="3"/>
    </row>
    <row r="153" spans="93:95" ht="12.45">
      <c r="CO153" s="3"/>
      <c r="CP153" s="3"/>
      <c r="CQ153" s="3"/>
    </row>
    <row r="154" spans="93:95" ht="12.45">
      <c r="CO154" s="3"/>
      <c r="CP154" s="3"/>
      <c r="CQ154" s="3"/>
    </row>
    <row r="155" spans="93:95" ht="12.45">
      <c r="CO155" s="3"/>
      <c r="CP155" s="3"/>
      <c r="CQ155" s="3"/>
    </row>
    <row r="156" spans="93:95" ht="12.45">
      <c r="CO156" s="3"/>
      <c r="CP156" s="3"/>
      <c r="CQ156" s="3"/>
    </row>
    <row r="157" spans="93:95" ht="12.45">
      <c r="CO157" s="3"/>
      <c r="CP157" s="3"/>
      <c r="CQ157" s="3"/>
    </row>
    <row r="158" spans="93:95" ht="12.45">
      <c r="CO158" s="3"/>
      <c r="CP158" s="3"/>
      <c r="CQ158" s="3"/>
    </row>
    <row r="159" spans="93:95" ht="12.45">
      <c r="CO159" s="3"/>
      <c r="CP159" s="3"/>
      <c r="CQ159" s="3"/>
    </row>
    <row r="160" spans="93:95" ht="12.45">
      <c r="CO160" s="3"/>
      <c r="CP160" s="3"/>
      <c r="CQ160" s="3"/>
    </row>
    <row r="161" spans="93:95" ht="12.45">
      <c r="CO161" s="3"/>
      <c r="CP161" s="3"/>
      <c r="CQ161" s="3"/>
    </row>
    <row r="162" spans="93:95" ht="12.45">
      <c r="CO162" s="3"/>
      <c r="CP162" s="3"/>
      <c r="CQ162" s="3"/>
    </row>
    <row r="163" spans="93:95" ht="12.45">
      <c r="CO163" s="3"/>
      <c r="CP163" s="3"/>
      <c r="CQ163" s="3"/>
    </row>
    <row r="164" spans="93:95" ht="12.45">
      <c r="CO164" s="3"/>
      <c r="CP164" s="3"/>
      <c r="CQ164" s="3"/>
    </row>
    <row r="165" spans="93:95" ht="12.45">
      <c r="CO165" s="3"/>
      <c r="CP165" s="3"/>
      <c r="CQ165" s="3"/>
    </row>
    <row r="166" spans="93:95" ht="12.45">
      <c r="CO166" s="3"/>
      <c r="CP166" s="3"/>
      <c r="CQ166" s="3"/>
    </row>
    <row r="167" spans="93:95" ht="12.45">
      <c r="CO167" s="3"/>
      <c r="CP167" s="3"/>
      <c r="CQ167" s="3"/>
    </row>
    <row r="168" spans="93:95" ht="12.45">
      <c r="CO168" s="3"/>
      <c r="CP168" s="3"/>
      <c r="CQ168" s="3"/>
    </row>
    <row r="169" spans="93:95" ht="12.45">
      <c r="CO169" s="3"/>
      <c r="CP169" s="3"/>
      <c r="CQ169" s="3"/>
    </row>
    <row r="170" spans="93:95" ht="12.45">
      <c r="CO170" s="3"/>
      <c r="CP170" s="3"/>
      <c r="CQ170" s="3"/>
    </row>
    <row r="171" spans="93:95" ht="12.45">
      <c r="CO171" s="3"/>
      <c r="CP171" s="3"/>
      <c r="CQ171" s="3"/>
    </row>
    <row r="172" spans="93:95" ht="12.45">
      <c r="CO172" s="3"/>
      <c r="CP172" s="3"/>
      <c r="CQ172" s="3"/>
    </row>
    <row r="173" spans="93:95" ht="12.45">
      <c r="CO173" s="3"/>
      <c r="CP173" s="3"/>
      <c r="CQ173" s="3"/>
    </row>
    <row r="174" spans="93:95" ht="12.45">
      <c r="CO174" s="3"/>
      <c r="CP174" s="3"/>
      <c r="CQ174" s="3"/>
    </row>
    <row r="175" spans="93:95" ht="12.45">
      <c r="CO175" s="3"/>
      <c r="CP175" s="3"/>
      <c r="CQ175" s="3"/>
    </row>
    <row r="176" spans="93:95" ht="12.45">
      <c r="CO176" s="3"/>
      <c r="CP176" s="3"/>
      <c r="CQ176" s="3"/>
    </row>
    <row r="177" spans="93:95" ht="12.45">
      <c r="CO177" s="3"/>
      <c r="CP177" s="3"/>
      <c r="CQ177" s="3"/>
    </row>
    <row r="178" spans="93:95" ht="12.45">
      <c r="CO178" s="3"/>
      <c r="CP178" s="3"/>
      <c r="CQ178" s="3"/>
    </row>
    <row r="179" spans="93:95" ht="12.45">
      <c r="CO179" s="3"/>
      <c r="CP179" s="3"/>
      <c r="CQ179" s="3"/>
    </row>
    <row r="180" spans="93:95" ht="12.45">
      <c r="CO180" s="3"/>
      <c r="CP180" s="3"/>
      <c r="CQ180" s="3"/>
    </row>
    <row r="181" spans="93:95" ht="12.45">
      <c r="CO181" s="3"/>
      <c r="CP181" s="3"/>
      <c r="CQ181" s="3"/>
    </row>
    <row r="182" spans="93:95" ht="12.45">
      <c r="CO182" s="3"/>
      <c r="CP182" s="3"/>
      <c r="CQ182" s="3"/>
    </row>
    <row r="183" spans="93:95" ht="12.45">
      <c r="CO183" s="3"/>
      <c r="CP183" s="3"/>
      <c r="CQ183" s="3"/>
    </row>
    <row r="184" spans="93:95" ht="12.45">
      <c r="CO184" s="3"/>
      <c r="CP184" s="3"/>
      <c r="CQ184" s="3"/>
    </row>
    <row r="185" spans="93:95" ht="12.45">
      <c r="CO185" s="3"/>
      <c r="CP185" s="3"/>
      <c r="CQ185" s="3"/>
    </row>
    <row r="186" spans="93:95" ht="12.45">
      <c r="CO186" s="3"/>
      <c r="CP186" s="3"/>
      <c r="CQ186" s="3"/>
    </row>
    <row r="187" spans="93:95" ht="12.45">
      <c r="CO187" s="3"/>
      <c r="CP187" s="3"/>
      <c r="CQ187" s="3"/>
    </row>
    <row r="188" spans="93:95" ht="12.45">
      <c r="CO188" s="3"/>
      <c r="CP188" s="3"/>
      <c r="CQ188" s="3"/>
    </row>
    <row r="189" spans="93:95" ht="12.45">
      <c r="CO189" s="3"/>
      <c r="CP189" s="3"/>
      <c r="CQ189" s="3"/>
    </row>
    <row r="190" spans="93:95" ht="12.45">
      <c r="CO190" s="3"/>
      <c r="CP190" s="3"/>
      <c r="CQ190" s="3"/>
    </row>
    <row r="191" spans="93:95" ht="12.45">
      <c r="CO191" s="3"/>
      <c r="CP191" s="3"/>
      <c r="CQ191" s="3"/>
    </row>
    <row r="192" spans="93:95" ht="12.45">
      <c r="CO192" s="3"/>
      <c r="CP192" s="3"/>
      <c r="CQ192" s="3"/>
    </row>
    <row r="193" spans="93:95" ht="12.45">
      <c r="CO193" s="3"/>
      <c r="CP193" s="3"/>
      <c r="CQ193" s="3"/>
    </row>
    <row r="194" spans="93:95" ht="12.45">
      <c r="CO194" s="3"/>
      <c r="CP194" s="3"/>
      <c r="CQ194" s="3"/>
    </row>
    <row r="195" spans="93:95" ht="12.45">
      <c r="CO195" s="3"/>
      <c r="CP195" s="3"/>
      <c r="CQ195" s="3"/>
    </row>
    <row r="196" spans="93:95" ht="12.45">
      <c r="CO196" s="3"/>
      <c r="CP196" s="3"/>
      <c r="CQ196" s="3"/>
    </row>
    <row r="197" spans="93:95" ht="12.45">
      <c r="CO197" s="3"/>
      <c r="CP197" s="3"/>
      <c r="CQ197" s="3"/>
    </row>
    <row r="198" spans="93:95" ht="12.45">
      <c r="CO198" s="3"/>
      <c r="CP198" s="3"/>
      <c r="CQ198" s="3"/>
    </row>
    <row r="199" spans="93:95" ht="12.45">
      <c r="CO199" s="3"/>
      <c r="CP199" s="3"/>
      <c r="CQ199" s="3"/>
    </row>
    <row r="200" spans="93:95" ht="12.45">
      <c r="CO200" s="3"/>
      <c r="CP200" s="3"/>
      <c r="CQ200" s="3"/>
    </row>
    <row r="201" spans="93:95" ht="12.45">
      <c r="CO201" s="3"/>
      <c r="CP201" s="3"/>
      <c r="CQ201" s="3"/>
    </row>
    <row r="202" spans="93:95" ht="12.45">
      <c r="CO202" s="3"/>
      <c r="CP202" s="3"/>
      <c r="CQ202" s="3"/>
    </row>
    <row r="203" spans="93:95" ht="12.45">
      <c r="CO203" s="3"/>
      <c r="CP203" s="3"/>
      <c r="CQ203" s="3"/>
    </row>
    <row r="204" spans="93:95" ht="12.45">
      <c r="CO204" s="3"/>
      <c r="CP204" s="3"/>
      <c r="CQ204" s="3"/>
    </row>
    <row r="205" spans="93:95" ht="12.45">
      <c r="CO205" s="3"/>
      <c r="CP205" s="3"/>
      <c r="CQ205" s="3"/>
    </row>
    <row r="206" spans="93:95" ht="12.45">
      <c r="CO206" s="3"/>
      <c r="CP206" s="3"/>
      <c r="CQ206" s="3"/>
    </row>
    <row r="207" spans="93:95" ht="12.45">
      <c r="CO207" s="3"/>
      <c r="CP207" s="3"/>
      <c r="CQ207" s="3"/>
    </row>
    <row r="208" spans="93:95" ht="12.45">
      <c r="CO208" s="3"/>
      <c r="CP208" s="3"/>
      <c r="CQ208" s="3"/>
    </row>
    <row r="209" spans="93:95" ht="12.45">
      <c r="CO209" s="3"/>
      <c r="CP209" s="3"/>
      <c r="CQ209" s="3"/>
    </row>
    <row r="210" spans="93:95" ht="12.45">
      <c r="CO210" s="3"/>
      <c r="CP210" s="3"/>
      <c r="CQ210" s="3"/>
    </row>
    <row r="211" spans="93:95" ht="12.45">
      <c r="CO211" s="3"/>
      <c r="CP211" s="3"/>
      <c r="CQ211" s="3"/>
    </row>
    <row r="212" spans="93:95" ht="12.45">
      <c r="CO212" s="3"/>
      <c r="CP212" s="3"/>
      <c r="CQ212" s="3"/>
    </row>
    <row r="213" spans="93:95" ht="12.45">
      <c r="CO213" s="3"/>
      <c r="CP213" s="3"/>
      <c r="CQ213" s="3"/>
    </row>
    <row r="214" spans="93:95" ht="12.45">
      <c r="CO214" s="3"/>
      <c r="CP214" s="3"/>
      <c r="CQ214" s="3"/>
    </row>
    <row r="215" spans="93:95" ht="12.45">
      <c r="CO215" s="3"/>
      <c r="CP215" s="3"/>
      <c r="CQ215" s="3"/>
    </row>
    <row r="216" spans="93:95" ht="12.45">
      <c r="CO216" s="3"/>
      <c r="CP216" s="3"/>
      <c r="CQ216" s="3"/>
    </row>
    <row r="217" spans="93:95" ht="12.45">
      <c r="CO217" s="3"/>
      <c r="CP217" s="3"/>
      <c r="CQ217" s="3"/>
    </row>
    <row r="218" spans="93:95" ht="12.45">
      <c r="CO218" s="3"/>
      <c r="CP218" s="3"/>
      <c r="CQ218" s="3"/>
    </row>
    <row r="219" spans="93:95" ht="12.45">
      <c r="CO219" s="3"/>
      <c r="CP219" s="3"/>
      <c r="CQ219" s="3"/>
    </row>
    <row r="220" spans="93:95" ht="12.45">
      <c r="CO220" s="3"/>
      <c r="CP220" s="3"/>
      <c r="CQ220" s="3"/>
    </row>
    <row r="221" spans="93:95" ht="12.45">
      <c r="CO221" s="3"/>
      <c r="CP221" s="3"/>
      <c r="CQ221" s="3"/>
    </row>
    <row r="222" spans="93:95" ht="12.45">
      <c r="CO222" s="3"/>
      <c r="CP222" s="3"/>
      <c r="CQ222" s="3"/>
    </row>
    <row r="223" spans="93:95" ht="12.45">
      <c r="CO223" s="3"/>
      <c r="CP223" s="3"/>
      <c r="CQ223" s="3"/>
    </row>
    <row r="224" spans="93:95" ht="12.45">
      <c r="CO224" s="3"/>
      <c r="CP224" s="3"/>
      <c r="CQ224" s="3"/>
    </row>
    <row r="225" spans="93:95" ht="12.45">
      <c r="CO225" s="3"/>
      <c r="CP225" s="3"/>
      <c r="CQ225" s="3"/>
    </row>
    <row r="226" spans="93:95" ht="12.45">
      <c r="CO226" s="3"/>
      <c r="CP226" s="3"/>
      <c r="CQ226" s="3"/>
    </row>
    <row r="227" spans="93:95" ht="12.45">
      <c r="CO227" s="3"/>
      <c r="CP227" s="3"/>
      <c r="CQ227" s="3"/>
    </row>
    <row r="228" spans="93:95" ht="12.45">
      <c r="CO228" s="3"/>
      <c r="CP228" s="3"/>
      <c r="CQ228" s="3"/>
    </row>
    <row r="229" spans="93:95" ht="12.45">
      <c r="CO229" s="3"/>
      <c r="CP229" s="3"/>
      <c r="CQ229" s="3"/>
    </row>
    <row r="230" spans="93:95" ht="12.45">
      <c r="CO230" s="3"/>
      <c r="CP230" s="3"/>
      <c r="CQ230" s="3"/>
    </row>
    <row r="231" spans="93:95" ht="12.45">
      <c r="CO231" s="3"/>
      <c r="CP231" s="3"/>
      <c r="CQ231" s="3"/>
    </row>
    <row r="232" spans="93:95" ht="12.45">
      <c r="CO232" s="3"/>
      <c r="CP232" s="3"/>
      <c r="CQ232" s="3"/>
    </row>
    <row r="233" spans="93:95" ht="12.45">
      <c r="CO233" s="3"/>
      <c r="CP233" s="3"/>
      <c r="CQ233" s="3"/>
    </row>
    <row r="234" spans="93:95" ht="12.45">
      <c r="CO234" s="3"/>
      <c r="CP234" s="3"/>
      <c r="CQ234" s="3"/>
    </row>
    <row r="235" spans="93:95" ht="12.45">
      <c r="CO235" s="3"/>
      <c r="CP235" s="3"/>
      <c r="CQ235" s="3"/>
    </row>
    <row r="236" spans="93:95" ht="12.45">
      <c r="CO236" s="3"/>
      <c r="CP236" s="3"/>
      <c r="CQ236" s="3"/>
    </row>
    <row r="237" spans="93:95" ht="12.45">
      <c r="CO237" s="3"/>
      <c r="CP237" s="3"/>
      <c r="CQ237" s="3"/>
    </row>
    <row r="238" spans="93:95" ht="12.45">
      <c r="CO238" s="3"/>
      <c r="CP238" s="3"/>
      <c r="CQ238" s="3"/>
    </row>
    <row r="239" spans="93:95" ht="12.45">
      <c r="CO239" s="3"/>
      <c r="CP239" s="3"/>
      <c r="CQ239" s="3"/>
    </row>
    <row r="240" spans="93:95" ht="12.45">
      <c r="CO240" s="3"/>
      <c r="CP240" s="3"/>
      <c r="CQ240" s="3"/>
    </row>
    <row r="241" spans="93:95" ht="12.45">
      <c r="CO241" s="3"/>
      <c r="CP241" s="3"/>
      <c r="CQ241" s="3"/>
    </row>
    <row r="242" spans="93:95" ht="12.45">
      <c r="CO242" s="3"/>
      <c r="CP242" s="3"/>
      <c r="CQ242" s="3"/>
    </row>
    <row r="243" spans="93:95" ht="12.45">
      <c r="CO243" s="3"/>
      <c r="CP243" s="3"/>
      <c r="CQ243" s="3"/>
    </row>
    <row r="244" spans="93:95" ht="12.45">
      <c r="CO244" s="3"/>
      <c r="CP244" s="3"/>
      <c r="CQ244" s="3"/>
    </row>
    <row r="245" spans="93:95" ht="12.45">
      <c r="CO245" s="3"/>
      <c r="CP245" s="3"/>
      <c r="CQ245" s="3"/>
    </row>
    <row r="246" spans="93:95" ht="12.45">
      <c r="CO246" s="3"/>
      <c r="CP246" s="3"/>
      <c r="CQ246" s="3"/>
    </row>
    <row r="247" spans="93:95" ht="12.45">
      <c r="CO247" s="3"/>
      <c r="CP247" s="3"/>
      <c r="CQ247" s="3"/>
    </row>
    <row r="248" spans="93:95" ht="12.45">
      <c r="CO248" s="3"/>
      <c r="CP248" s="3"/>
      <c r="CQ248" s="3"/>
    </row>
    <row r="249" spans="93:95" ht="12.45">
      <c r="CO249" s="3"/>
      <c r="CP249" s="3"/>
      <c r="CQ249" s="3"/>
    </row>
    <row r="250" spans="93:95" ht="12.45">
      <c r="CO250" s="3"/>
      <c r="CP250" s="3"/>
      <c r="CQ250" s="3"/>
    </row>
    <row r="251" spans="93:95" ht="12.45">
      <c r="CO251" s="3"/>
      <c r="CP251" s="3"/>
      <c r="CQ251" s="3"/>
    </row>
    <row r="252" spans="93:95" ht="12.45">
      <c r="CO252" s="3"/>
      <c r="CP252" s="3"/>
      <c r="CQ252" s="3"/>
    </row>
    <row r="253" spans="93:95" ht="12.45">
      <c r="CO253" s="3"/>
      <c r="CP253" s="3"/>
      <c r="CQ253" s="3"/>
    </row>
    <row r="254" spans="93:95" ht="12.45">
      <c r="CO254" s="3"/>
      <c r="CP254" s="3"/>
      <c r="CQ254" s="3"/>
    </row>
    <row r="255" spans="93:95" ht="12.45">
      <c r="CO255" s="3"/>
      <c r="CP255" s="3"/>
      <c r="CQ255" s="3"/>
    </row>
    <row r="256" spans="93:95" ht="12.45">
      <c r="CO256" s="3"/>
      <c r="CP256" s="3"/>
      <c r="CQ256" s="3"/>
    </row>
    <row r="257" spans="93:95" ht="12.45">
      <c r="CO257" s="3"/>
      <c r="CP257" s="3"/>
      <c r="CQ257" s="3"/>
    </row>
    <row r="258" spans="93:95" ht="12.45">
      <c r="CO258" s="3"/>
      <c r="CP258" s="3"/>
      <c r="CQ258" s="3"/>
    </row>
    <row r="259" spans="93:95" ht="12.45">
      <c r="CO259" s="3"/>
      <c r="CP259" s="3"/>
      <c r="CQ259" s="3"/>
    </row>
    <row r="260" spans="93:95" ht="12.45">
      <c r="CO260" s="3"/>
      <c r="CP260" s="3"/>
      <c r="CQ260" s="3"/>
    </row>
    <row r="261" spans="93:95" ht="12.45">
      <c r="CO261" s="3"/>
      <c r="CP261" s="3"/>
      <c r="CQ261" s="3"/>
    </row>
    <row r="262" spans="93:95" ht="12.45">
      <c r="CO262" s="3"/>
      <c r="CP262" s="3"/>
      <c r="CQ262" s="3"/>
    </row>
    <row r="263" spans="93:95" ht="12.45">
      <c r="CO263" s="3"/>
      <c r="CP263" s="3"/>
      <c r="CQ263" s="3"/>
    </row>
    <row r="264" spans="93:95" ht="12.45">
      <c r="CO264" s="3"/>
      <c r="CP264" s="3"/>
      <c r="CQ264" s="3"/>
    </row>
    <row r="265" spans="93:95" ht="12.45">
      <c r="CO265" s="3"/>
      <c r="CP265" s="3"/>
      <c r="CQ265" s="3"/>
    </row>
    <row r="266" spans="93:95" ht="12.45">
      <c r="CO266" s="3"/>
      <c r="CP266" s="3"/>
      <c r="CQ266" s="3"/>
    </row>
    <row r="267" spans="93:95" ht="12.45">
      <c r="CO267" s="3"/>
      <c r="CP267" s="3"/>
      <c r="CQ267" s="3"/>
    </row>
    <row r="268" spans="93:95" ht="12.45">
      <c r="CO268" s="3"/>
      <c r="CP268" s="3"/>
      <c r="CQ268" s="3"/>
    </row>
    <row r="269" spans="93:95" ht="12.45">
      <c r="CO269" s="3"/>
      <c r="CP269" s="3"/>
      <c r="CQ269" s="3"/>
    </row>
    <row r="270" spans="93:95" ht="12.45">
      <c r="CO270" s="3"/>
      <c r="CP270" s="3"/>
      <c r="CQ270" s="3"/>
    </row>
    <row r="271" spans="93:95" ht="12.45">
      <c r="CO271" s="3"/>
      <c r="CP271" s="3"/>
      <c r="CQ271" s="3"/>
    </row>
    <row r="272" spans="93:95" ht="12.45">
      <c r="CO272" s="3"/>
      <c r="CP272" s="3"/>
      <c r="CQ272" s="3"/>
    </row>
    <row r="273" spans="93:95" ht="12.45">
      <c r="CO273" s="3"/>
      <c r="CP273" s="3"/>
      <c r="CQ273" s="3"/>
    </row>
    <row r="274" spans="93:95" ht="12.45">
      <c r="CO274" s="3"/>
      <c r="CP274" s="3"/>
      <c r="CQ274" s="3"/>
    </row>
    <row r="275" spans="93:95" ht="12.45">
      <c r="CO275" s="3"/>
      <c r="CP275" s="3"/>
      <c r="CQ275" s="3"/>
    </row>
    <row r="276" spans="93:95" ht="12.45">
      <c r="CO276" s="3"/>
      <c r="CP276" s="3"/>
      <c r="CQ276" s="3"/>
    </row>
    <row r="277" spans="93:95" ht="12.45">
      <c r="CO277" s="3"/>
      <c r="CP277" s="3"/>
      <c r="CQ277" s="3"/>
    </row>
    <row r="278" spans="93:95" ht="12.45">
      <c r="CO278" s="3"/>
      <c r="CP278" s="3"/>
      <c r="CQ278" s="3"/>
    </row>
    <row r="279" spans="93:95" ht="12.45">
      <c r="CO279" s="3"/>
      <c r="CP279" s="3"/>
      <c r="CQ279" s="3"/>
    </row>
    <row r="280" spans="93:95" ht="12.45">
      <c r="CO280" s="3"/>
      <c r="CP280" s="3"/>
      <c r="CQ280" s="3"/>
    </row>
    <row r="281" spans="93:95" ht="12.45">
      <c r="CO281" s="3"/>
      <c r="CP281" s="3"/>
      <c r="CQ281" s="3"/>
    </row>
    <row r="282" spans="93:95" ht="12.45">
      <c r="CO282" s="3"/>
      <c r="CP282" s="3"/>
      <c r="CQ282" s="3"/>
    </row>
    <row r="283" spans="93:95" ht="12.45">
      <c r="CO283" s="3"/>
      <c r="CP283" s="3"/>
      <c r="CQ283" s="3"/>
    </row>
    <row r="284" spans="93:95" ht="12.45">
      <c r="CO284" s="3"/>
      <c r="CP284" s="3"/>
      <c r="CQ284" s="3"/>
    </row>
    <row r="285" spans="93:95" ht="12.45">
      <c r="CO285" s="3"/>
      <c r="CP285" s="3"/>
      <c r="CQ285" s="3"/>
    </row>
    <row r="286" spans="93:95" ht="12.45">
      <c r="CO286" s="3"/>
      <c r="CP286" s="3"/>
      <c r="CQ286" s="3"/>
    </row>
    <row r="287" spans="93:95" ht="12.45">
      <c r="CO287" s="3"/>
      <c r="CP287" s="3"/>
      <c r="CQ287" s="3"/>
    </row>
    <row r="288" spans="93:95" ht="12.45">
      <c r="CO288" s="3"/>
      <c r="CP288" s="3"/>
      <c r="CQ288" s="3"/>
    </row>
    <row r="289" spans="93:95" ht="12.45">
      <c r="CO289" s="3"/>
      <c r="CP289" s="3"/>
      <c r="CQ289" s="3"/>
    </row>
    <row r="290" spans="93:95" ht="12.45">
      <c r="CO290" s="3"/>
      <c r="CP290" s="3"/>
      <c r="CQ290" s="3"/>
    </row>
    <row r="291" spans="93:95" ht="12.45">
      <c r="CO291" s="3"/>
      <c r="CP291" s="3"/>
      <c r="CQ291" s="3"/>
    </row>
    <row r="292" spans="93:95" ht="12.45">
      <c r="CO292" s="3"/>
      <c r="CP292" s="3"/>
      <c r="CQ292" s="3"/>
    </row>
    <row r="293" spans="93:95" ht="12.45">
      <c r="CO293" s="3"/>
      <c r="CP293" s="3"/>
      <c r="CQ293" s="3"/>
    </row>
    <row r="294" spans="93:95" ht="12.45">
      <c r="CO294" s="3"/>
      <c r="CP294" s="3"/>
      <c r="CQ294" s="3"/>
    </row>
    <row r="295" spans="93:95" ht="12.45">
      <c r="CO295" s="3"/>
      <c r="CP295" s="3"/>
      <c r="CQ295" s="3"/>
    </row>
    <row r="296" spans="93:95" ht="12.45">
      <c r="CO296" s="3"/>
      <c r="CP296" s="3"/>
      <c r="CQ296" s="3"/>
    </row>
    <row r="297" spans="93:95" ht="12.45">
      <c r="CO297" s="3"/>
      <c r="CP297" s="3"/>
      <c r="CQ297" s="3"/>
    </row>
    <row r="298" spans="93:95" ht="12.45">
      <c r="CO298" s="3"/>
      <c r="CP298" s="3"/>
      <c r="CQ298" s="3"/>
    </row>
    <row r="299" spans="93:95" ht="12.45">
      <c r="CO299" s="3"/>
      <c r="CP299" s="3"/>
      <c r="CQ299" s="3"/>
    </row>
    <row r="300" spans="93:95" ht="12.45">
      <c r="CO300" s="3"/>
      <c r="CP300" s="3"/>
      <c r="CQ300" s="3"/>
    </row>
    <row r="301" spans="93:95" ht="12.45">
      <c r="CO301" s="3"/>
      <c r="CP301" s="3"/>
      <c r="CQ301" s="3"/>
    </row>
    <row r="302" spans="93:95" ht="12.45">
      <c r="CO302" s="3"/>
      <c r="CP302" s="3"/>
      <c r="CQ302" s="3"/>
    </row>
    <row r="303" spans="93:95" ht="12.45">
      <c r="CO303" s="3"/>
      <c r="CP303" s="3"/>
      <c r="CQ303" s="3"/>
    </row>
    <row r="304" spans="93:95" ht="12.45">
      <c r="CO304" s="3"/>
      <c r="CP304" s="3"/>
      <c r="CQ304" s="3"/>
    </row>
    <row r="305" spans="93:95" ht="12.45">
      <c r="CO305" s="3"/>
      <c r="CP305" s="3"/>
      <c r="CQ305" s="3"/>
    </row>
    <row r="306" spans="93:95" ht="12.45">
      <c r="CO306" s="3"/>
      <c r="CP306" s="3"/>
      <c r="CQ306" s="3"/>
    </row>
    <row r="307" spans="93:95" ht="12.45">
      <c r="CO307" s="3"/>
      <c r="CP307" s="3"/>
      <c r="CQ307" s="3"/>
    </row>
    <row r="308" spans="93:95" ht="12.45">
      <c r="CO308" s="3"/>
      <c r="CP308" s="3"/>
      <c r="CQ308" s="3"/>
    </row>
    <row r="309" spans="93:95" ht="12.45">
      <c r="CO309" s="3"/>
      <c r="CP309" s="3"/>
      <c r="CQ309" s="3"/>
    </row>
    <row r="310" spans="93:95" ht="12.45">
      <c r="CO310" s="3"/>
      <c r="CP310" s="3"/>
      <c r="CQ310" s="3"/>
    </row>
    <row r="311" spans="93:95" ht="12.45">
      <c r="CO311" s="3"/>
      <c r="CP311" s="3"/>
      <c r="CQ311" s="3"/>
    </row>
    <row r="312" spans="93:95" ht="12.45">
      <c r="CO312" s="3"/>
      <c r="CP312" s="3"/>
      <c r="CQ312" s="3"/>
    </row>
    <row r="313" spans="93:95" ht="12.45">
      <c r="CO313" s="3"/>
      <c r="CP313" s="3"/>
      <c r="CQ313" s="3"/>
    </row>
    <row r="314" spans="93:95" ht="12.45">
      <c r="CO314" s="3"/>
      <c r="CP314" s="3"/>
      <c r="CQ314" s="3"/>
    </row>
    <row r="315" spans="93:95" ht="12.45">
      <c r="CO315" s="3"/>
      <c r="CP315" s="3"/>
      <c r="CQ315" s="3"/>
    </row>
    <row r="316" spans="93:95" ht="12.45">
      <c r="CO316" s="3"/>
      <c r="CP316" s="3"/>
      <c r="CQ316" s="3"/>
    </row>
    <row r="317" spans="93:95" ht="12.45">
      <c r="CO317" s="3"/>
      <c r="CP317" s="3"/>
      <c r="CQ317" s="3"/>
    </row>
    <row r="318" spans="93:95" ht="12.45">
      <c r="CO318" s="3"/>
      <c r="CP318" s="3"/>
      <c r="CQ318" s="3"/>
    </row>
    <row r="319" spans="93:95" ht="12.45">
      <c r="CO319" s="3"/>
      <c r="CP319" s="3"/>
      <c r="CQ319" s="3"/>
    </row>
    <row r="320" spans="93:95" ht="12.45">
      <c r="CO320" s="3"/>
      <c r="CP320" s="3"/>
      <c r="CQ320" s="3"/>
    </row>
    <row r="321" spans="93:95" ht="12.45">
      <c r="CO321" s="3"/>
      <c r="CP321" s="3"/>
      <c r="CQ321" s="3"/>
    </row>
    <row r="322" spans="93:95" ht="12.45">
      <c r="CO322" s="3"/>
      <c r="CP322" s="3"/>
      <c r="CQ322" s="3"/>
    </row>
    <row r="323" spans="93:95" ht="12.45">
      <c r="CO323" s="3"/>
      <c r="CP323" s="3"/>
      <c r="CQ323" s="3"/>
    </row>
    <row r="324" spans="93:95" ht="12.45">
      <c r="CO324" s="3"/>
      <c r="CP324" s="3"/>
      <c r="CQ324" s="3"/>
    </row>
    <row r="325" spans="93:95" ht="12.45">
      <c r="CO325" s="3"/>
      <c r="CP325" s="3"/>
      <c r="CQ325" s="3"/>
    </row>
    <row r="326" spans="93:95" ht="12.45">
      <c r="CO326" s="3"/>
      <c r="CP326" s="3"/>
      <c r="CQ326" s="3"/>
    </row>
    <row r="327" spans="93:95" ht="12.45">
      <c r="CO327" s="3"/>
      <c r="CP327" s="3"/>
      <c r="CQ327" s="3"/>
    </row>
    <row r="328" spans="93:95" ht="12.45">
      <c r="CO328" s="3"/>
      <c r="CP328" s="3"/>
      <c r="CQ328" s="3"/>
    </row>
    <row r="329" spans="93:95" ht="12.45">
      <c r="CO329" s="3"/>
      <c r="CP329" s="3"/>
      <c r="CQ329" s="3"/>
    </row>
    <row r="330" spans="93:95" ht="12.45">
      <c r="CO330" s="3"/>
      <c r="CP330" s="3"/>
      <c r="CQ330" s="3"/>
    </row>
    <row r="331" spans="93:95" ht="12.45">
      <c r="CO331" s="3"/>
      <c r="CP331" s="3"/>
      <c r="CQ331" s="3"/>
    </row>
    <row r="332" spans="93:95" ht="12.45">
      <c r="CO332" s="3"/>
      <c r="CP332" s="3"/>
      <c r="CQ332" s="3"/>
    </row>
    <row r="333" spans="93:95" ht="12.45">
      <c r="CO333" s="3"/>
      <c r="CP333" s="3"/>
      <c r="CQ333" s="3"/>
    </row>
    <row r="334" spans="93:95" ht="12.45">
      <c r="CO334" s="3"/>
      <c r="CP334" s="3"/>
      <c r="CQ334" s="3"/>
    </row>
    <row r="335" spans="93:95" ht="12.45">
      <c r="CO335" s="3"/>
      <c r="CP335" s="3"/>
      <c r="CQ335" s="3"/>
    </row>
    <row r="336" spans="93:95" ht="12.45">
      <c r="CO336" s="3"/>
      <c r="CP336" s="3"/>
      <c r="CQ336" s="3"/>
    </row>
    <row r="337" spans="93:95" ht="12.45">
      <c r="CO337" s="3"/>
      <c r="CP337" s="3"/>
      <c r="CQ337" s="3"/>
    </row>
    <row r="338" spans="93:95" ht="12.45">
      <c r="CO338" s="3"/>
      <c r="CP338" s="3"/>
      <c r="CQ338" s="3"/>
    </row>
    <row r="339" spans="93:95" ht="12.45">
      <c r="CO339" s="3"/>
      <c r="CP339" s="3"/>
      <c r="CQ339" s="3"/>
    </row>
    <row r="340" spans="93:95" ht="12.45">
      <c r="CO340" s="3"/>
      <c r="CP340" s="3"/>
      <c r="CQ340" s="3"/>
    </row>
    <row r="341" spans="93:95" ht="12.45">
      <c r="CO341" s="3"/>
      <c r="CP341" s="3"/>
      <c r="CQ341" s="3"/>
    </row>
    <row r="342" spans="93:95" ht="12.45">
      <c r="CO342" s="3"/>
      <c r="CP342" s="3"/>
      <c r="CQ342" s="3"/>
    </row>
    <row r="343" spans="93:95" ht="12.45">
      <c r="CO343" s="3"/>
      <c r="CP343" s="3"/>
      <c r="CQ343" s="3"/>
    </row>
    <row r="344" spans="93:95" ht="12.45">
      <c r="CO344" s="3"/>
      <c r="CP344" s="3"/>
      <c r="CQ344" s="3"/>
    </row>
    <row r="345" spans="93:95" ht="12.45">
      <c r="CO345" s="3"/>
      <c r="CP345" s="3"/>
      <c r="CQ345" s="3"/>
    </row>
    <row r="346" spans="93:95" ht="12.45">
      <c r="CO346" s="3"/>
      <c r="CP346" s="3"/>
      <c r="CQ346" s="3"/>
    </row>
    <row r="347" spans="93:95" ht="12.45">
      <c r="CO347" s="3"/>
      <c r="CP347" s="3"/>
      <c r="CQ347" s="3"/>
    </row>
    <row r="348" spans="93:95" ht="12.45">
      <c r="CO348" s="3"/>
      <c r="CP348" s="3"/>
      <c r="CQ348" s="3"/>
    </row>
    <row r="349" spans="93:95" ht="12.45">
      <c r="CO349" s="3"/>
      <c r="CP349" s="3"/>
      <c r="CQ349" s="3"/>
    </row>
    <row r="350" spans="93:95" ht="12.45">
      <c r="CO350" s="3"/>
      <c r="CP350" s="3"/>
      <c r="CQ350" s="3"/>
    </row>
    <row r="351" spans="93:95" ht="12.45">
      <c r="CO351" s="3"/>
      <c r="CP351" s="3"/>
      <c r="CQ351" s="3"/>
    </row>
    <row r="352" spans="93:95" ht="12.45">
      <c r="CO352" s="3"/>
      <c r="CP352" s="3"/>
      <c r="CQ352" s="3"/>
    </row>
    <row r="353" spans="93:95" ht="12.45">
      <c r="CO353" s="3"/>
      <c r="CP353" s="3"/>
      <c r="CQ353" s="3"/>
    </row>
    <row r="354" spans="93:95" ht="12.45">
      <c r="CO354" s="3"/>
      <c r="CP354" s="3"/>
      <c r="CQ354" s="3"/>
    </row>
    <row r="355" spans="93:95" ht="12.45">
      <c r="CO355" s="3"/>
      <c r="CP355" s="3"/>
      <c r="CQ355" s="3"/>
    </row>
    <row r="356" spans="93:95" ht="12.45">
      <c r="CO356" s="3"/>
      <c r="CP356" s="3"/>
      <c r="CQ356" s="3"/>
    </row>
    <row r="357" spans="93:95" ht="12.45">
      <c r="CO357" s="3"/>
      <c r="CP357" s="3"/>
      <c r="CQ357" s="3"/>
    </row>
    <row r="358" spans="93:95" ht="12.45">
      <c r="CO358" s="3"/>
      <c r="CP358" s="3"/>
      <c r="CQ358" s="3"/>
    </row>
    <row r="359" spans="93:95" ht="12.45">
      <c r="CO359" s="3"/>
      <c r="CP359" s="3"/>
      <c r="CQ359" s="3"/>
    </row>
    <row r="360" spans="93:95" ht="12.45">
      <c r="CO360" s="3"/>
      <c r="CP360" s="3"/>
      <c r="CQ360" s="3"/>
    </row>
    <row r="361" spans="93:95" ht="12.45">
      <c r="CO361" s="3"/>
      <c r="CP361" s="3"/>
      <c r="CQ361" s="3"/>
    </row>
    <row r="362" spans="93:95" ht="12.45">
      <c r="CO362" s="3"/>
      <c r="CP362" s="3"/>
      <c r="CQ362" s="3"/>
    </row>
    <row r="363" spans="93:95" ht="12.45">
      <c r="CO363" s="3"/>
      <c r="CP363" s="3"/>
      <c r="CQ363" s="3"/>
    </row>
    <row r="364" spans="93:95" ht="12.45">
      <c r="CO364" s="3"/>
      <c r="CP364" s="3"/>
      <c r="CQ364" s="3"/>
    </row>
    <row r="365" spans="93:95" ht="12.45">
      <c r="CO365" s="3"/>
      <c r="CP365" s="3"/>
      <c r="CQ365" s="3"/>
    </row>
    <row r="366" spans="93:95" ht="12.45">
      <c r="CO366" s="3"/>
      <c r="CP366" s="3"/>
      <c r="CQ366" s="3"/>
    </row>
    <row r="367" spans="93:95" ht="12.45">
      <c r="CO367" s="3"/>
      <c r="CP367" s="3"/>
      <c r="CQ367" s="3"/>
    </row>
    <row r="368" spans="93:95" ht="12.45">
      <c r="CO368" s="3"/>
      <c r="CP368" s="3"/>
      <c r="CQ368" s="3"/>
    </row>
    <row r="369" spans="93:95" ht="12.45">
      <c r="CO369" s="3"/>
      <c r="CP369" s="3"/>
      <c r="CQ369" s="3"/>
    </row>
    <row r="370" spans="93:95" ht="12.45">
      <c r="CO370" s="3"/>
      <c r="CP370" s="3"/>
      <c r="CQ370" s="3"/>
    </row>
    <row r="371" spans="93:95" ht="12.45">
      <c r="CO371" s="3"/>
      <c r="CP371" s="3"/>
      <c r="CQ371" s="3"/>
    </row>
    <row r="372" spans="93:95" ht="12.45">
      <c r="CO372" s="3"/>
      <c r="CP372" s="3"/>
      <c r="CQ372" s="3"/>
    </row>
    <row r="373" spans="93:95" ht="12.45">
      <c r="CO373" s="3"/>
      <c r="CP373" s="3"/>
      <c r="CQ373" s="3"/>
    </row>
    <row r="374" spans="93:95" ht="12.45">
      <c r="CO374" s="3"/>
      <c r="CP374" s="3"/>
      <c r="CQ374" s="3"/>
    </row>
    <row r="375" spans="93:95" ht="12.45">
      <c r="CO375" s="3"/>
      <c r="CP375" s="3"/>
      <c r="CQ375" s="3"/>
    </row>
    <row r="376" spans="93:95" ht="12.45">
      <c r="CO376" s="3"/>
      <c r="CP376" s="3"/>
      <c r="CQ376" s="3"/>
    </row>
    <row r="377" spans="93:95" ht="12.45">
      <c r="CO377" s="3"/>
      <c r="CP377" s="3"/>
      <c r="CQ377" s="3"/>
    </row>
    <row r="378" spans="93:95" ht="12.45">
      <c r="CO378" s="3"/>
      <c r="CP378" s="3"/>
      <c r="CQ378" s="3"/>
    </row>
    <row r="379" spans="93:95" ht="12.45">
      <c r="CO379" s="3"/>
      <c r="CP379" s="3"/>
      <c r="CQ379" s="3"/>
    </row>
    <row r="380" spans="93:95" ht="12.45">
      <c r="CO380" s="3"/>
      <c r="CP380" s="3"/>
      <c r="CQ380" s="3"/>
    </row>
    <row r="381" spans="93:95" ht="12.45">
      <c r="CO381" s="3"/>
      <c r="CP381" s="3"/>
      <c r="CQ381" s="3"/>
    </row>
    <row r="382" spans="93:95" ht="12.45">
      <c r="CO382" s="3"/>
      <c r="CP382" s="3"/>
      <c r="CQ382" s="3"/>
    </row>
    <row r="383" spans="93:95" ht="12.45">
      <c r="CO383" s="3"/>
      <c r="CP383" s="3"/>
      <c r="CQ383" s="3"/>
    </row>
    <row r="384" spans="93:95" ht="12.45">
      <c r="CO384" s="3"/>
      <c r="CP384" s="3"/>
      <c r="CQ384" s="3"/>
    </row>
    <row r="385" spans="93:95" ht="12.45">
      <c r="CO385" s="3"/>
      <c r="CP385" s="3"/>
      <c r="CQ385" s="3"/>
    </row>
    <row r="386" spans="93:95" ht="12.45">
      <c r="CO386" s="3"/>
      <c r="CP386" s="3"/>
      <c r="CQ386" s="3"/>
    </row>
    <row r="387" spans="93:95" ht="12.45">
      <c r="CO387" s="3"/>
      <c r="CP387" s="3"/>
      <c r="CQ387" s="3"/>
    </row>
    <row r="388" spans="93:95" ht="12.45">
      <c r="CO388" s="3"/>
      <c r="CP388" s="3"/>
      <c r="CQ388" s="3"/>
    </row>
    <row r="389" spans="93:95" ht="12.45">
      <c r="CO389" s="3"/>
      <c r="CP389" s="3"/>
      <c r="CQ389" s="3"/>
    </row>
    <row r="390" spans="93:95" ht="12.45">
      <c r="CO390" s="3"/>
      <c r="CP390" s="3"/>
      <c r="CQ390" s="3"/>
    </row>
    <row r="391" spans="93:95" ht="12.45">
      <c r="CO391" s="3"/>
      <c r="CP391" s="3"/>
      <c r="CQ391" s="3"/>
    </row>
    <row r="392" spans="93:95" ht="12.45">
      <c r="CO392" s="3"/>
      <c r="CP392" s="3"/>
      <c r="CQ392" s="3"/>
    </row>
    <row r="393" spans="93:95" ht="12.45">
      <c r="CO393" s="3"/>
      <c r="CP393" s="3"/>
      <c r="CQ393" s="3"/>
    </row>
    <row r="394" spans="93:95" ht="12.45">
      <c r="CO394" s="3"/>
      <c r="CP394" s="3"/>
      <c r="CQ394" s="3"/>
    </row>
    <row r="395" spans="93:95" ht="12.45">
      <c r="CO395" s="3"/>
      <c r="CP395" s="3"/>
      <c r="CQ395" s="3"/>
    </row>
    <row r="396" spans="93:95" ht="12.45">
      <c r="CO396" s="3"/>
      <c r="CP396" s="3"/>
      <c r="CQ396" s="3"/>
    </row>
    <row r="397" spans="93:95" ht="12.45">
      <c r="CO397" s="3"/>
      <c r="CP397" s="3"/>
      <c r="CQ397" s="3"/>
    </row>
    <row r="398" spans="93:95" ht="12.45">
      <c r="CO398" s="3"/>
      <c r="CP398" s="3"/>
      <c r="CQ398" s="3"/>
    </row>
    <row r="399" spans="93:95" ht="12.45">
      <c r="CO399" s="3"/>
      <c r="CP399" s="3"/>
      <c r="CQ399" s="3"/>
    </row>
    <row r="400" spans="93:95" ht="12.45">
      <c r="CO400" s="3"/>
      <c r="CP400" s="3"/>
      <c r="CQ400" s="3"/>
    </row>
    <row r="401" spans="93:95" ht="12.45">
      <c r="CO401" s="3"/>
      <c r="CP401" s="3"/>
      <c r="CQ401" s="3"/>
    </row>
    <row r="402" spans="93:95" ht="12.45">
      <c r="CO402" s="3"/>
      <c r="CP402" s="3"/>
      <c r="CQ402" s="3"/>
    </row>
    <row r="403" spans="93:95" ht="12.45">
      <c r="CO403" s="3"/>
      <c r="CP403" s="3"/>
      <c r="CQ403" s="3"/>
    </row>
    <row r="404" spans="93:95" ht="12.45">
      <c r="CO404" s="3"/>
      <c r="CP404" s="3"/>
      <c r="CQ404" s="3"/>
    </row>
    <row r="405" spans="93:95" ht="12.45">
      <c r="CO405" s="3"/>
      <c r="CP405" s="3"/>
      <c r="CQ405" s="3"/>
    </row>
    <row r="406" spans="93:95" ht="12.45">
      <c r="CO406" s="3"/>
      <c r="CP406" s="3"/>
      <c r="CQ406" s="3"/>
    </row>
    <row r="407" spans="93:95" ht="12.45">
      <c r="CO407" s="3"/>
      <c r="CP407" s="3"/>
      <c r="CQ407" s="3"/>
    </row>
    <row r="408" spans="93:95" ht="12.45">
      <c r="CO408" s="3"/>
      <c r="CP408" s="3"/>
      <c r="CQ408" s="3"/>
    </row>
    <row r="409" spans="93:95" ht="12.45">
      <c r="CO409" s="3"/>
      <c r="CP409" s="3"/>
      <c r="CQ409" s="3"/>
    </row>
    <row r="410" spans="93:95" ht="12.45">
      <c r="CO410" s="3"/>
      <c r="CP410" s="3"/>
      <c r="CQ410" s="3"/>
    </row>
    <row r="411" spans="93:95" ht="12.45">
      <c r="CO411" s="3"/>
      <c r="CP411" s="3"/>
      <c r="CQ411" s="3"/>
    </row>
    <row r="412" spans="93:95" ht="12.45">
      <c r="CO412" s="3"/>
      <c r="CP412" s="3"/>
      <c r="CQ412" s="3"/>
    </row>
    <row r="413" spans="93:95" ht="12.45">
      <c r="CO413" s="3"/>
      <c r="CP413" s="3"/>
      <c r="CQ413" s="3"/>
    </row>
    <row r="414" spans="93:95" ht="12.45">
      <c r="CO414" s="3"/>
      <c r="CP414" s="3"/>
      <c r="CQ414" s="3"/>
    </row>
    <row r="415" spans="93:95" ht="12.45">
      <c r="CO415" s="3"/>
      <c r="CP415" s="3"/>
      <c r="CQ415" s="3"/>
    </row>
    <row r="416" spans="93:95" ht="12.45">
      <c r="CO416" s="3"/>
      <c r="CP416" s="3"/>
      <c r="CQ416" s="3"/>
    </row>
    <row r="417" spans="93:95" ht="12.45">
      <c r="CO417" s="3"/>
      <c r="CP417" s="3"/>
      <c r="CQ417" s="3"/>
    </row>
    <row r="418" spans="93:95" ht="12.45">
      <c r="CO418" s="3"/>
      <c r="CP418" s="3"/>
      <c r="CQ418" s="3"/>
    </row>
    <row r="419" spans="93:95" ht="12.45">
      <c r="CO419" s="3"/>
      <c r="CP419" s="3"/>
      <c r="CQ419" s="3"/>
    </row>
    <row r="420" spans="93:95" ht="12.45">
      <c r="CO420" s="3"/>
      <c r="CP420" s="3"/>
      <c r="CQ420" s="3"/>
    </row>
    <row r="421" spans="93:95" ht="12.45">
      <c r="CO421" s="3"/>
      <c r="CP421" s="3"/>
      <c r="CQ421" s="3"/>
    </row>
    <row r="422" spans="93:95" ht="12.45">
      <c r="CO422" s="3"/>
      <c r="CP422" s="3"/>
      <c r="CQ422" s="3"/>
    </row>
    <row r="423" spans="93:95" ht="12.45">
      <c r="CO423" s="3"/>
      <c r="CP423" s="3"/>
      <c r="CQ423" s="3"/>
    </row>
    <row r="424" spans="93:95" ht="12.45">
      <c r="CO424" s="3"/>
      <c r="CP424" s="3"/>
      <c r="CQ424" s="3"/>
    </row>
    <row r="425" spans="93:95" ht="12.45">
      <c r="CO425" s="3"/>
      <c r="CP425" s="3"/>
      <c r="CQ425" s="3"/>
    </row>
    <row r="426" spans="93:95" ht="12.45">
      <c r="CO426" s="3"/>
      <c r="CP426" s="3"/>
      <c r="CQ426" s="3"/>
    </row>
    <row r="427" spans="93:95" ht="12.45">
      <c r="CO427" s="3"/>
      <c r="CP427" s="3"/>
      <c r="CQ427" s="3"/>
    </row>
    <row r="428" spans="93:95" ht="12.45">
      <c r="CO428" s="3"/>
      <c r="CP428" s="3"/>
      <c r="CQ428" s="3"/>
    </row>
    <row r="429" spans="93:95" ht="12.45">
      <c r="CO429" s="3"/>
      <c r="CP429" s="3"/>
      <c r="CQ429" s="3"/>
    </row>
    <row r="430" spans="93:95" ht="12.45">
      <c r="CO430" s="3"/>
      <c r="CP430" s="3"/>
      <c r="CQ430" s="3"/>
    </row>
    <row r="431" spans="93:95" ht="12.45">
      <c r="CO431" s="3"/>
      <c r="CP431" s="3"/>
      <c r="CQ431" s="3"/>
    </row>
    <row r="432" spans="93:95" ht="12.45">
      <c r="CO432" s="3"/>
      <c r="CP432" s="3"/>
      <c r="CQ432" s="3"/>
    </row>
    <row r="433" spans="93:95" ht="12.45">
      <c r="CO433" s="3"/>
      <c r="CP433" s="3"/>
      <c r="CQ433" s="3"/>
    </row>
    <row r="434" spans="93:95" ht="12.45">
      <c r="CO434" s="3"/>
      <c r="CP434" s="3"/>
      <c r="CQ434" s="3"/>
    </row>
    <row r="435" spans="93:95" ht="12.45">
      <c r="CO435" s="3"/>
      <c r="CP435" s="3"/>
      <c r="CQ435" s="3"/>
    </row>
    <row r="436" spans="93:95" ht="12.45">
      <c r="CO436" s="3"/>
      <c r="CP436" s="3"/>
      <c r="CQ436" s="3"/>
    </row>
    <row r="437" spans="93:95" ht="12.45">
      <c r="CO437" s="3"/>
      <c r="CP437" s="3"/>
      <c r="CQ437" s="3"/>
    </row>
    <row r="438" spans="93:95" ht="12.45">
      <c r="CO438" s="3"/>
      <c r="CP438" s="3"/>
      <c r="CQ438" s="3"/>
    </row>
    <row r="439" spans="93:95" ht="12.45">
      <c r="CO439" s="3"/>
      <c r="CP439" s="3"/>
      <c r="CQ439" s="3"/>
    </row>
    <row r="440" spans="93:95" ht="12.45">
      <c r="CO440" s="3"/>
      <c r="CP440" s="3"/>
      <c r="CQ440" s="3"/>
    </row>
    <row r="441" spans="93:95" ht="12.45">
      <c r="CO441" s="3"/>
      <c r="CP441" s="3"/>
      <c r="CQ441" s="3"/>
    </row>
    <row r="442" spans="93:95" ht="12.45">
      <c r="CO442" s="3"/>
      <c r="CP442" s="3"/>
      <c r="CQ442" s="3"/>
    </row>
    <row r="443" spans="93:95" ht="12.45">
      <c r="CO443" s="3"/>
      <c r="CP443" s="3"/>
      <c r="CQ443" s="3"/>
    </row>
    <row r="444" spans="93:95" ht="12.45">
      <c r="CO444" s="3"/>
      <c r="CP444" s="3"/>
      <c r="CQ444" s="3"/>
    </row>
    <row r="445" spans="93:95" ht="12.45">
      <c r="CO445" s="3"/>
      <c r="CP445" s="3"/>
      <c r="CQ445" s="3"/>
    </row>
    <row r="446" spans="93:95" ht="12.45">
      <c r="CO446" s="3"/>
      <c r="CP446" s="3"/>
      <c r="CQ446" s="3"/>
    </row>
    <row r="447" spans="93:95" ht="12.45">
      <c r="CO447" s="3"/>
      <c r="CP447" s="3"/>
      <c r="CQ447" s="3"/>
    </row>
    <row r="448" spans="93:95" ht="12.45">
      <c r="CO448" s="3"/>
      <c r="CP448" s="3"/>
      <c r="CQ448" s="3"/>
    </row>
    <row r="449" spans="93:95" ht="12.45">
      <c r="CO449" s="3"/>
      <c r="CP449" s="3"/>
      <c r="CQ449" s="3"/>
    </row>
    <row r="450" spans="93:95" ht="12.45">
      <c r="CO450" s="3"/>
      <c r="CP450" s="3"/>
      <c r="CQ450" s="3"/>
    </row>
    <row r="451" spans="93:95" ht="12.45">
      <c r="CO451" s="3"/>
      <c r="CP451" s="3"/>
      <c r="CQ451" s="3"/>
    </row>
    <row r="452" spans="93:95" ht="12.45">
      <c r="CO452" s="3"/>
      <c r="CP452" s="3"/>
      <c r="CQ452" s="3"/>
    </row>
    <row r="453" spans="93:95" ht="12.45">
      <c r="CO453" s="3"/>
      <c r="CP453" s="3"/>
      <c r="CQ453" s="3"/>
    </row>
    <row r="454" spans="93:95" ht="12.45">
      <c r="CO454" s="3"/>
      <c r="CP454" s="3"/>
      <c r="CQ454" s="3"/>
    </row>
    <row r="455" spans="93:95" ht="12.45">
      <c r="CO455" s="3"/>
      <c r="CP455" s="3"/>
      <c r="CQ455" s="3"/>
    </row>
    <row r="456" spans="93:95" ht="12.45">
      <c r="CO456" s="3"/>
      <c r="CP456" s="3"/>
      <c r="CQ456" s="3"/>
    </row>
    <row r="457" spans="93:95" ht="12.45">
      <c r="CO457" s="3"/>
      <c r="CP457" s="3"/>
      <c r="CQ457" s="3"/>
    </row>
    <row r="458" spans="93:95" ht="12.45">
      <c r="CO458" s="3"/>
      <c r="CP458" s="3"/>
      <c r="CQ458" s="3"/>
    </row>
    <row r="459" spans="93:95" ht="12.45">
      <c r="CO459" s="3"/>
      <c r="CP459" s="3"/>
      <c r="CQ459" s="3"/>
    </row>
    <row r="460" spans="93:95" ht="12.45">
      <c r="CO460" s="3"/>
      <c r="CP460" s="3"/>
      <c r="CQ460" s="3"/>
    </row>
    <row r="461" spans="93:95" ht="12.45">
      <c r="CO461" s="3"/>
      <c r="CP461" s="3"/>
      <c r="CQ461" s="3"/>
    </row>
    <row r="462" spans="93:95" ht="12.45">
      <c r="CO462" s="3"/>
      <c r="CP462" s="3"/>
      <c r="CQ462" s="3"/>
    </row>
    <row r="463" spans="93:95" ht="12.45">
      <c r="CO463" s="3"/>
      <c r="CP463" s="3"/>
      <c r="CQ463" s="3"/>
    </row>
    <row r="464" spans="93:95" ht="12.45">
      <c r="CO464" s="3"/>
      <c r="CP464" s="3"/>
      <c r="CQ464" s="3"/>
    </row>
    <row r="465" spans="93:95" ht="12.45">
      <c r="CO465" s="3"/>
      <c r="CP465" s="3"/>
      <c r="CQ465" s="3"/>
    </row>
    <row r="466" spans="93:95" ht="12.45">
      <c r="CO466" s="3"/>
      <c r="CP466" s="3"/>
      <c r="CQ466" s="3"/>
    </row>
    <row r="467" spans="93:95" ht="12.45">
      <c r="CO467" s="3"/>
      <c r="CP467" s="3"/>
      <c r="CQ467" s="3"/>
    </row>
    <row r="468" spans="93:95" ht="12.45">
      <c r="CO468" s="3"/>
      <c r="CP468" s="3"/>
      <c r="CQ468" s="3"/>
    </row>
    <row r="469" spans="93:95" ht="12.45">
      <c r="CO469" s="3"/>
      <c r="CP469" s="3"/>
      <c r="CQ469" s="3"/>
    </row>
    <row r="470" spans="93:95" ht="12.45">
      <c r="CO470" s="3"/>
      <c r="CP470" s="3"/>
      <c r="CQ470" s="3"/>
    </row>
    <row r="471" spans="93:95" ht="12.45">
      <c r="CO471" s="3"/>
      <c r="CP471" s="3"/>
      <c r="CQ471" s="3"/>
    </row>
    <row r="472" spans="93:95" ht="12.45">
      <c r="CO472" s="3"/>
      <c r="CP472" s="3"/>
      <c r="CQ472" s="3"/>
    </row>
    <row r="473" spans="93:95" ht="12.45">
      <c r="CO473" s="3"/>
      <c r="CP473" s="3"/>
      <c r="CQ473" s="3"/>
    </row>
    <row r="474" spans="93:95" ht="12.45">
      <c r="CO474" s="3"/>
      <c r="CP474" s="3"/>
      <c r="CQ474" s="3"/>
    </row>
    <row r="475" spans="93:95" ht="12.45">
      <c r="CO475" s="3"/>
      <c r="CP475" s="3"/>
      <c r="CQ475" s="3"/>
    </row>
    <row r="476" spans="93:95" ht="12.45">
      <c r="CO476" s="3"/>
      <c r="CP476" s="3"/>
      <c r="CQ476" s="3"/>
    </row>
    <row r="477" spans="93:95" ht="12.45">
      <c r="CO477" s="3"/>
      <c r="CP477" s="3"/>
      <c r="CQ477" s="3"/>
    </row>
    <row r="478" spans="93:95" ht="12.45">
      <c r="CO478" s="3"/>
      <c r="CP478" s="3"/>
      <c r="CQ478" s="3"/>
    </row>
    <row r="479" spans="93:95" ht="12.45">
      <c r="CO479" s="3"/>
      <c r="CP479" s="3"/>
      <c r="CQ479" s="3"/>
    </row>
    <row r="480" spans="93:95" ht="12.45">
      <c r="CO480" s="3"/>
      <c r="CP480" s="3"/>
      <c r="CQ480" s="3"/>
    </row>
    <row r="481" spans="93:95" ht="12.45">
      <c r="CO481" s="3"/>
      <c r="CP481" s="3"/>
      <c r="CQ481" s="3"/>
    </row>
    <row r="482" spans="93:95" ht="12.45">
      <c r="CO482" s="3"/>
      <c r="CP482" s="3"/>
      <c r="CQ482" s="3"/>
    </row>
    <row r="483" spans="93:95" ht="12.45">
      <c r="CO483" s="3"/>
      <c r="CP483" s="3"/>
      <c r="CQ483" s="3"/>
    </row>
    <row r="484" spans="93:95" ht="12.45">
      <c r="CO484" s="3"/>
      <c r="CP484" s="3"/>
      <c r="CQ484" s="3"/>
    </row>
    <row r="485" spans="93:95" ht="12.45">
      <c r="CO485" s="3"/>
      <c r="CP485" s="3"/>
      <c r="CQ485" s="3"/>
    </row>
    <row r="486" spans="93:95" ht="12.45">
      <c r="CO486" s="3"/>
      <c r="CP486" s="3"/>
      <c r="CQ486" s="3"/>
    </row>
    <row r="487" spans="93:95" ht="12.45">
      <c r="CO487" s="3"/>
      <c r="CP487" s="3"/>
      <c r="CQ487" s="3"/>
    </row>
    <row r="488" spans="93:95" ht="12.45">
      <c r="CO488" s="3"/>
      <c r="CP488" s="3"/>
      <c r="CQ488" s="3"/>
    </row>
    <row r="489" spans="93:95" ht="12.45">
      <c r="CO489" s="3"/>
      <c r="CP489" s="3"/>
      <c r="CQ489" s="3"/>
    </row>
    <row r="490" spans="93:95" ht="12.45">
      <c r="CO490" s="3"/>
      <c r="CP490" s="3"/>
      <c r="CQ490" s="3"/>
    </row>
    <row r="491" spans="93:95" ht="12.45">
      <c r="CO491" s="3"/>
      <c r="CP491" s="3"/>
      <c r="CQ491" s="3"/>
    </row>
    <row r="492" spans="93:95" ht="12.45">
      <c r="CO492" s="3"/>
      <c r="CP492" s="3"/>
      <c r="CQ492" s="3"/>
    </row>
    <row r="493" spans="93:95" ht="12.45">
      <c r="CO493" s="3"/>
      <c r="CP493" s="3"/>
      <c r="CQ493" s="3"/>
    </row>
    <row r="494" spans="93:95" ht="12.45">
      <c r="CO494" s="3"/>
      <c r="CP494" s="3"/>
      <c r="CQ494" s="3"/>
    </row>
    <row r="495" spans="93:95" ht="12.45">
      <c r="CO495" s="3"/>
      <c r="CP495" s="3"/>
      <c r="CQ495" s="3"/>
    </row>
    <row r="496" spans="93:95" ht="12.45">
      <c r="CO496" s="3"/>
      <c r="CP496" s="3"/>
      <c r="CQ496" s="3"/>
    </row>
    <row r="497" spans="93:95" ht="12.45">
      <c r="CO497" s="3"/>
      <c r="CP497" s="3"/>
      <c r="CQ497" s="3"/>
    </row>
    <row r="498" spans="93:95" ht="12.45">
      <c r="CO498" s="3"/>
      <c r="CP498" s="3"/>
      <c r="CQ498" s="3"/>
    </row>
    <row r="499" spans="93:95" ht="12.45">
      <c r="CO499" s="3"/>
      <c r="CP499" s="3"/>
      <c r="CQ499" s="3"/>
    </row>
    <row r="500" spans="93:95" ht="12.45">
      <c r="CO500" s="3"/>
      <c r="CP500" s="3"/>
      <c r="CQ500" s="3"/>
    </row>
    <row r="501" spans="93:95" ht="12.45">
      <c r="CO501" s="3"/>
      <c r="CP501" s="3"/>
      <c r="CQ501" s="3"/>
    </row>
    <row r="502" spans="93:95" ht="12.45">
      <c r="CO502" s="3"/>
      <c r="CP502" s="3"/>
      <c r="CQ502" s="3"/>
    </row>
    <row r="503" spans="93:95" ht="12.45">
      <c r="CO503" s="3"/>
      <c r="CP503" s="3"/>
      <c r="CQ503" s="3"/>
    </row>
    <row r="504" spans="93:95" ht="12.45">
      <c r="CO504" s="3"/>
      <c r="CP504" s="3"/>
      <c r="CQ504" s="3"/>
    </row>
    <row r="505" spans="93:95" ht="12.45">
      <c r="CO505" s="3"/>
      <c r="CP505" s="3"/>
      <c r="CQ505" s="3"/>
    </row>
    <row r="506" spans="93:95" ht="12.45">
      <c r="CO506" s="3"/>
      <c r="CP506" s="3"/>
      <c r="CQ506" s="3"/>
    </row>
    <row r="507" spans="93:95" ht="12.45">
      <c r="CO507" s="3"/>
      <c r="CP507" s="3"/>
      <c r="CQ507" s="3"/>
    </row>
    <row r="508" spans="93:95" ht="12.45">
      <c r="CO508" s="3"/>
      <c r="CP508" s="3"/>
      <c r="CQ508" s="3"/>
    </row>
    <row r="509" spans="93:95" ht="12.45">
      <c r="CO509" s="3"/>
      <c r="CP509" s="3"/>
      <c r="CQ509" s="3"/>
    </row>
    <row r="510" spans="93:95" ht="12.45">
      <c r="CO510" s="3"/>
      <c r="CP510" s="3"/>
      <c r="CQ510" s="3"/>
    </row>
    <row r="511" spans="93:95" ht="12.45">
      <c r="CO511" s="3"/>
      <c r="CP511" s="3"/>
      <c r="CQ511" s="3"/>
    </row>
    <row r="512" spans="93:95" ht="12.45">
      <c r="CO512" s="3"/>
      <c r="CP512" s="3"/>
      <c r="CQ512" s="3"/>
    </row>
    <row r="513" spans="93:95" ht="12.45">
      <c r="CO513" s="3"/>
      <c r="CP513" s="3"/>
      <c r="CQ513" s="3"/>
    </row>
    <row r="514" spans="93:95" ht="12.45">
      <c r="CO514" s="3"/>
      <c r="CP514" s="3"/>
      <c r="CQ514" s="3"/>
    </row>
    <row r="515" spans="93:95" ht="12.45">
      <c r="CO515" s="3"/>
      <c r="CP515" s="3"/>
      <c r="CQ515" s="3"/>
    </row>
    <row r="516" spans="93:95" ht="12.45">
      <c r="CO516" s="3"/>
      <c r="CP516" s="3"/>
      <c r="CQ516" s="3"/>
    </row>
    <row r="517" spans="93:95" ht="12.45">
      <c r="CO517" s="3"/>
      <c r="CP517" s="3"/>
      <c r="CQ517" s="3"/>
    </row>
    <row r="518" spans="93:95" ht="12.45">
      <c r="CO518" s="3"/>
      <c r="CP518" s="3"/>
      <c r="CQ518" s="3"/>
    </row>
    <row r="519" spans="93:95" ht="12.45">
      <c r="CO519" s="3"/>
      <c r="CP519" s="3"/>
      <c r="CQ519" s="3"/>
    </row>
    <row r="520" spans="93:95" ht="12.45">
      <c r="CO520" s="3"/>
      <c r="CP520" s="3"/>
      <c r="CQ520" s="3"/>
    </row>
    <row r="521" spans="93:95" ht="12.45">
      <c r="CO521" s="3"/>
      <c r="CP521" s="3"/>
      <c r="CQ521" s="3"/>
    </row>
    <row r="522" spans="93:95" ht="12.45">
      <c r="CO522" s="3"/>
      <c r="CP522" s="3"/>
      <c r="CQ522" s="3"/>
    </row>
    <row r="523" spans="93:95" ht="12.45">
      <c r="CO523" s="3"/>
      <c r="CP523" s="3"/>
      <c r="CQ523" s="3"/>
    </row>
    <row r="524" spans="93:95" ht="12.45">
      <c r="CO524" s="3"/>
      <c r="CP524" s="3"/>
      <c r="CQ524" s="3"/>
    </row>
    <row r="525" spans="93:95" ht="12.45">
      <c r="CO525" s="3"/>
      <c r="CP525" s="3"/>
      <c r="CQ525" s="3"/>
    </row>
    <row r="526" spans="93:95" ht="12.45">
      <c r="CO526" s="3"/>
      <c r="CP526" s="3"/>
      <c r="CQ526" s="3"/>
    </row>
    <row r="527" spans="93:95" ht="12.45">
      <c r="CO527" s="3"/>
      <c r="CP527" s="3"/>
      <c r="CQ527" s="3"/>
    </row>
    <row r="528" spans="93:95" ht="12.45">
      <c r="CO528" s="3"/>
      <c r="CP528" s="3"/>
      <c r="CQ528" s="3"/>
    </row>
    <row r="529" spans="93:95" ht="12.45">
      <c r="CO529" s="3"/>
      <c r="CP529" s="3"/>
      <c r="CQ529" s="3"/>
    </row>
    <row r="530" spans="93:95" ht="12.45">
      <c r="CO530" s="3"/>
      <c r="CP530" s="3"/>
      <c r="CQ530" s="3"/>
    </row>
    <row r="531" spans="93:95" ht="12.45">
      <c r="CO531" s="3"/>
      <c r="CP531" s="3"/>
      <c r="CQ531" s="3"/>
    </row>
    <row r="532" spans="93:95" ht="12.45">
      <c r="CO532" s="3"/>
      <c r="CP532" s="3"/>
      <c r="CQ532" s="3"/>
    </row>
    <row r="533" spans="93:95" ht="12.45">
      <c r="CO533" s="3"/>
      <c r="CP533" s="3"/>
      <c r="CQ533" s="3"/>
    </row>
    <row r="534" spans="93:95" ht="12.45">
      <c r="CO534" s="3"/>
      <c r="CP534" s="3"/>
      <c r="CQ534" s="3"/>
    </row>
    <row r="535" spans="93:95" ht="12.45">
      <c r="CO535" s="3"/>
      <c r="CP535" s="3"/>
      <c r="CQ535" s="3"/>
    </row>
    <row r="536" spans="93:95" ht="12.45">
      <c r="CO536" s="3"/>
      <c r="CP536" s="3"/>
      <c r="CQ536" s="3"/>
    </row>
    <row r="537" spans="93:95" ht="12.45">
      <c r="CO537" s="3"/>
      <c r="CP537" s="3"/>
      <c r="CQ537" s="3"/>
    </row>
    <row r="538" spans="93:95" ht="12.45">
      <c r="CO538" s="3"/>
      <c r="CP538" s="3"/>
      <c r="CQ538" s="3"/>
    </row>
    <row r="539" spans="93:95" ht="12.45">
      <c r="CO539" s="3"/>
      <c r="CP539" s="3"/>
      <c r="CQ539" s="3"/>
    </row>
    <row r="540" spans="93:95" ht="12.45">
      <c r="CO540" s="3"/>
      <c r="CP540" s="3"/>
      <c r="CQ540" s="3"/>
    </row>
    <row r="541" spans="93:95" ht="12.45">
      <c r="CO541" s="3"/>
      <c r="CP541" s="3"/>
      <c r="CQ541" s="3"/>
    </row>
    <row r="542" spans="93:95" ht="12.45">
      <c r="CO542" s="3"/>
      <c r="CP542" s="3"/>
      <c r="CQ542" s="3"/>
    </row>
    <row r="543" spans="93:95" ht="12.45">
      <c r="CO543" s="3"/>
      <c r="CP543" s="3"/>
      <c r="CQ543" s="3"/>
    </row>
    <row r="544" spans="93:95" ht="12.45">
      <c r="CO544" s="3"/>
      <c r="CP544" s="3"/>
      <c r="CQ544" s="3"/>
    </row>
    <row r="545" spans="93:95" ht="12.45">
      <c r="CO545" s="3"/>
      <c r="CP545" s="3"/>
      <c r="CQ545" s="3"/>
    </row>
    <row r="546" spans="93:95" ht="12.45">
      <c r="CO546" s="3"/>
      <c r="CP546" s="3"/>
      <c r="CQ546" s="3"/>
    </row>
    <row r="547" spans="93:95" ht="12.45">
      <c r="CO547" s="3"/>
      <c r="CP547" s="3"/>
      <c r="CQ547" s="3"/>
    </row>
    <row r="548" spans="93:95" ht="12.45">
      <c r="CO548" s="3"/>
      <c r="CP548" s="3"/>
      <c r="CQ548" s="3"/>
    </row>
    <row r="549" spans="93:95" ht="12.45">
      <c r="CO549" s="3"/>
      <c r="CP549" s="3"/>
      <c r="CQ549" s="3"/>
    </row>
    <row r="550" spans="93:95" ht="12.45">
      <c r="CO550" s="3"/>
      <c r="CP550" s="3"/>
      <c r="CQ550" s="3"/>
    </row>
    <row r="551" spans="93:95" ht="12.45">
      <c r="CO551" s="3"/>
      <c r="CP551" s="3"/>
      <c r="CQ551" s="3"/>
    </row>
    <row r="552" spans="93:95" ht="12.45">
      <c r="CO552" s="3"/>
      <c r="CP552" s="3"/>
      <c r="CQ552" s="3"/>
    </row>
    <row r="553" spans="93:95" ht="12.45">
      <c r="CO553" s="3"/>
      <c r="CP553" s="3"/>
      <c r="CQ553" s="3"/>
    </row>
    <row r="554" spans="93:95" ht="12.45">
      <c r="CO554" s="3"/>
      <c r="CP554" s="3"/>
      <c r="CQ554" s="3"/>
    </row>
    <row r="555" spans="93:95" ht="12.45">
      <c r="CO555" s="3"/>
      <c r="CP555" s="3"/>
      <c r="CQ555" s="3"/>
    </row>
    <row r="556" spans="93:95" ht="12.45">
      <c r="CO556" s="3"/>
      <c r="CP556" s="3"/>
      <c r="CQ556" s="3"/>
    </row>
    <row r="557" spans="93:95" ht="12.45">
      <c r="CO557" s="3"/>
      <c r="CP557" s="3"/>
      <c r="CQ557" s="3"/>
    </row>
    <row r="558" spans="93:95" ht="12.45">
      <c r="CO558" s="3"/>
      <c r="CP558" s="3"/>
      <c r="CQ558" s="3"/>
    </row>
    <row r="559" spans="93:95" ht="12.45">
      <c r="CO559" s="3"/>
      <c r="CP559" s="3"/>
      <c r="CQ559" s="3"/>
    </row>
    <row r="560" spans="93:95" ht="12.45">
      <c r="CO560" s="3"/>
      <c r="CP560" s="3"/>
      <c r="CQ560" s="3"/>
    </row>
    <row r="561" spans="93:95" ht="12.45">
      <c r="CO561" s="3"/>
      <c r="CP561" s="3"/>
      <c r="CQ561" s="3"/>
    </row>
    <row r="562" spans="93:95" ht="12.45">
      <c r="CO562" s="3"/>
      <c r="CP562" s="3"/>
      <c r="CQ562" s="3"/>
    </row>
    <row r="563" spans="93:95" ht="12.45">
      <c r="CO563" s="3"/>
      <c r="CP563" s="3"/>
      <c r="CQ563" s="3"/>
    </row>
    <row r="564" spans="93:95" ht="12.45">
      <c r="CO564" s="3"/>
      <c r="CP564" s="3"/>
      <c r="CQ564" s="3"/>
    </row>
    <row r="565" spans="93:95" ht="12.45">
      <c r="CO565" s="3"/>
      <c r="CP565" s="3"/>
      <c r="CQ565" s="3"/>
    </row>
    <row r="566" spans="93:95" ht="12.45">
      <c r="CO566" s="3"/>
      <c r="CP566" s="3"/>
      <c r="CQ566" s="3"/>
    </row>
    <row r="567" spans="93:95" ht="12.45">
      <c r="CO567" s="3"/>
      <c r="CP567" s="3"/>
      <c r="CQ567" s="3"/>
    </row>
    <row r="568" spans="93:95" ht="12.45">
      <c r="CO568" s="3"/>
      <c r="CP568" s="3"/>
      <c r="CQ568" s="3"/>
    </row>
    <row r="569" spans="93:95" ht="12.45">
      <c r="CO569" s="3"/>
      <c r="CP569" s="3"/>
      <c r="CQ569" s="3"/>
    </row>
    <row r="570" spans="93:95" ht="12.45">
      <c r="CO570" s="3"/>
      <c r="CP570" s="3"/>
      <c r="CQ570" s="3"/>
    </row>
    <row r="571" spans="93:95" ht="12.45">
      <c r="CO571" s="3"/>
      <c r="CP571" s="3"/>
      <c r="CQ571" s="3"/>
    </row>
    <row r="572" spans="93:95" ht="12.45">
      <c r="CO572" s="3"/>
      <c r="CP572" s="3"/>
      <c r="CQ572" s="3"/>
    </row>
    <row r="573" spans="93:95" ht="12.45">
      <c r="CO573" s="3"/>
      <c r="CP573" s="3"/>
      <c r="CQ573" s="3"/>
    </row>
    <row r="574" spans="93:95" ht="12.45">
      <c r="CO574" s="3"/>
      <c r="CP574" s="3"/>
      <c r="CQ574" s="3"/>
    </row>
    <row r="575" spans="93:95" ht="12.45">
      <c r="CO575" s="3"/>
      <c r="CP575" s="3"/>
      <c r="CQ575" s="3"/>
    </row>
    <row r="576" spans="93:95" ht="12.45">
      <c r="CO576" s="3"/>
      <c r="CP576" s="3"/>
      <c r="CQ576" s="3"/>
    </row>
    <row r="577" spans="93:95" ht="12.45">
      <c r="CO577" s="3"/>
      <c r="CP577" s="3"/>
      <c r="CQ577" s="3"/>
    </row>
    <row r="578" spans="93:95" ht="12.45">
      <c r="CO578" s="3"/>
      <c r="CP578" s="3"/>
      <c r="CQ578" s="3"/>
    </row>
    <row r="579" spans="93:95" ht="12.45">
      <c r="CO579" s="3"/>
      <c r="CP579" s="3"/>
      <c r="CQ579" s="3"/>
    </row>
    <row r="580" spans="93:95" ht="12.45">
      <c r="CO580" s="3"/>
      <c r="CP580" s="3"/>
      <c r="CQ580" s="3"/>
    </row>
    <row r="581" spans="93:95" ht="12.45">
      <c r="CO581" s="3"/>
      <c r="CP581" s="3"/>
      <c r="CQ581" s="3"/>
    </row>
    <row r="582" spans="93:95" ht="12.45">
      <c r="CO582" s="3"/>
      <c r="CP582" s="3"/>
      <c r="CQ582" s="3"/>
    </row>
    <row r="583" spans="93:95" ht="12.45">
      <c r="CO583" s="3"/>
      <c r="CP583" s="3"/>
      <c r="CQ583" s="3"/>
    </row>
    <row r="584" spans="93:95" ht="12.45">
      <c r="CO584" s="3"/>
      <c r="CP584" s="3"/>
      <c r="CQ584" s="3"/>
    </row>
    <row r="585" spans="93:95" ht="12.45">
      <c r="CO585" s="3"/>
      <c r="CP585" s="3"/>
      <c r="CQ585" s="3"/>
    </row>
    <row r="586" spans="93:95" ht="12.45">
      <c r="CO586" s="3"/>
      <c r="CP586" s="3"/>
      <c r="CQ586" s="3"/>
    </row>
    <row r="587" spans="93:95" ht="12.45">
      <c r="CO587" s="3"/>
      <c r="CP587" s="3"/>
      <c r="CQ587" s="3"/>
    </row>
    <row r="588" spans="93:95" ht="12.45">
      <c r="CO588" s="3"/>
      <c r="CP588" s="3"/>
      <c r="CQ588" s="3"/>
    </row>
    <row r="589" spans="93:95" ht="12.45">
      <c r="CO589" s="3"/>
      <c r="CP589" s="3"/>
      <c r="CQ589" s="3"/>
    </row>
    <row r="590" spans="93:95" ht="12.45">
      <c r="CO590" s="3"/>
      <c r="CP590" s="3"/>
      <c r="CQ590" s="3"/>
    </row>
    <row r="591" spans="93:95" ht="12.45">
      <c r="CO591" s="3"/>
      <c r="CP591" s="3"/>
      <c r="CQ591" s="3"/>
    </row>
    <row r="592" spans="93:95" ht="12.45">
      <c r="CO592" s="3"/>
      <c r="CP592" s="3"/>
      <c r="CQ592" s="3"/>
    </row>
    <row r="593" spans="93:95" ht="12.45">
      <c r="CO593" s="3"/>
      <c r="CP593" s="3"/>
      <c r="CQ593" s="3"/>
    </row>
    <row r="594" spans="93:95" ht="12.45">
      <c r="CO594" s="3"/>
      <c r="CP594" s="3"/>
      <c r="CQ594" s="3"/>
    </row>
    <row r="595" spans="93:95" ht="12.45">
      <c r="CO595" s="3"/>
      <c r="CP595" s="3"/>
      <c r="CQ595" s="3"/>
    </row>
    <row r="596" spans="93:95" ht="12.45">
      <c r="CO596" s="3"/>
      <c r="CP596" s="3"/>
      <c r="CQ596" s="3"/>
    </row>
    <row r="597" spans="93:95" ht="12.45">
      <c r="CO597" s="3"/>
      <c r="CP597" s="3"/>
      <c r="CQ597" s="3"/>
    </row>
    <row r="598" spans="93:95" ht="12.45">
      <c r="CO598" s="3"/>
      <c r="CP598" s="3"/>
      <c r="CQ598" s="3"/>
    </row>
    <row r="599" spans="93:95" ht="12.45">
      <c r="CO599" s="3"/>
      <c r="CP599" s="3"/>
      <c r="CQ599" s="3"/>
    </row>
    <row r="600" spans="93:95" ht="12.45">
      <c r="CO600" s="3"/>
      <c r="CP600" s="3"/>
      <c r="CQ600" s="3"/>
    </row>
    <row r="601" spans="93:95" ht="12.45">
      <c r="CO601" s="3"/>
      <c r="CP601" s="3"/>
      <c r="CQ601" s="3"/>
    </row>
    <row r="602" spans="93:95" ht="12.45">
      <c r="CO602" s="3"/>
      <c r="CP602" s="3"/>
      <c r="CQ602" s="3"/>
    </row>
    <row r="603" spans="93:95" ht="12.45">
      <c r="CO603" s="3"/>
      <c r="CP603" s="3"/>
      <c r="CQ603" s="3"/>
    </row>
    <row r="604" spans="93:95" ht="12.45">
      <c r="CO604" s="3"/>
      <c r="CP604" s="3"/>
      <c r="CQ604" s="3"/>
    </row>
    <row r="605" spans="93:95" ht="12.45">
      <c r="CO605" s="3"/>
      <c r="CP605" s="3"/>
      <c r="CQ605" s="3"/>
    </row>
    <row r="606" spans="93:95" ht="12.45">
      <c r="CO606" s="3"/>
      <c r="CP606" s="3"/>
      <c r="CQ606" s="3"/>
    </row>
    <row r="607" spans="93:95" ht="12.45">
      <c r="CO607" s="3"/>
      <c r="CP607" s="3"/>
      <c r="CQ607" s="3"/>
    </row>
    <row r="608" spans="93:95" ht="12.45">
      <c r="CO608" s="3"/>
      <c r="CP608" s="3"/>
      <c r="CQ608" s="3"/>
    </row>
    <row r="609" spans="93:95" ht="12.45">
      <c r="CO609" s="3"/>
      <c r="CP609" s="3"/>
      <c r="CQ609" s="3"/>
    </row>
    <row r="610" spans="93:95" ht="12.45">
      <c r="CO610" s="3"/>
      <c r="CP610" s="3"/>
      <c r="CQ610" s="3"/>
    </row>
    <row r="611" spans="93:95" ht="12.45">
      <c r="CO611" s="3"/>
      <c r="CP611" s="3"/>
      <c r="CQ611" s="3"/>
    </row>
    <row r="612" spans="93:95" ht="12.45">
      <c r="CO612" s="3"/>
      <c r="CP612" s="3"/>
      <c r="CQ612" s="3"/>
    </row>
    <row r="613" spans="93:95" ht="12.45">
      <c r="CO613" s="3"/>
      <c r="CP613" s="3"/>
      <c r="CQ613" s="3"/>
    </row>
    <row r="614" spans="93:95" ht="12.45">
      <c r="CO614" s="3"/>
      <c r="CP614" s="3"/>
      <c r="CQ614" s="3"/>
    </row>
    <row r="615" spans="93:95" ht="12.45">
      <c r="CO615" s="3"/>
      <c r="CP615" s="3"/>
      <c r="CQ615" s="3"/>
    </row>
    <row r="616" spans="93:95" ht="12.45">
      <c r="CO616" s="3"/>
      <c r="CP616" s="3"/>
      <c r="CQ616" s="3"/>
    </row>
    <row r="617" spans="93:95" ht="12.45">
      <c r="CO617" s="3"/>
      <c r="CP617" s="3"/>
      <c r="CQ617" s="3"/>
    </row>
    <row r="618" spans="93:95" ht="12.45">
      <c r="CO618" s="3"/>
      <c r="CP618" s="3"/>
      <c r="CQ618" s="3"/>
    </row>
    <row r="619" spans="93:95" ht="12.45">
      <c r="CO619" s="3"/>
      <c r="CP619" s="3"/>
      <c r="CQ619" s="3"/>
    </row>
    <row r="620" spans="93:95" ht="12.45">
      <c r="CO620" s="3"/>
      <c r="CP620" s="3"/>
      <c r="CQ620" s="3"/>
    </row>
    <row r="621" spans="93:95" ht="12.45">
      <c r="CO621" s="3"/>
      <c r="CP621" s="3"/>
      <c r="CQ621" s="3"/>
    </row>
    <row r="622" spans="93:95" ht="12.45">
      <c r="CO622" s="3"/>
      <c r="CP622" s="3"/>
      <c r="CQ622" s="3"/>
    </row>
    <row r="623" spans="93:95" ht="12.45">
      <c r="CO623" s="3"/>
      <c r="CP623" s="3"/>
      <c r="CQ623" s="3"/>
    </row>
    <row r="624" spans="93:95" ht="12.45">
      <c r="CO624" s="3"/>
      <c r="CP624" s="3"/>
      <c r="CQ624" s="3"/>
    </row>
    <row r="625" spans="93:95" ht="12.45">
      <c r="CO625" s="3"/>
      <c r="CP625" s="3"/>
      <c r="CQ625" s="3"/>
    </row>
    <row r="626" spans="93:95" ht="12.45">
      <c r="CO626" s="3"/>
      <c r="CP626" s="3"/>
      <c r="CQ626" s="3"/>
    </row>
    <row r="627" spans="93:95" ht="12.45">
      <c r="CO627" s="3"/>
      <c r="CP627" s="3"/>
      <c r="CQ627" s="3"/>
    </row>
    <row r="628" spans="93:95" ht="12.45">
      <c r="CO628" s="3"/>
      <c r="CP628" s="3"/>
      <c r="CQ628" s="3"/>
    </row>
    <row r="629" spans="93:95" ht="12.45">
      <c r="CO629" s="3"/>
      <c r="CP629" s="3"/>
      <c r="CQ629" s="3"/>
    </row>
    <row r="630" spans="93:95" ht="12.45">
      <c r="CO630" s="3"/>
      <c r="CP630" s="3"/>
      <c r="CQ630" s="3"/>
    </row>
    <row r="631" spans="93:95" ht="12.45">
      <c r="CO631" s="3"/>
      <c r="CP631" s="3"/>
      <c r="CQ631" s="3"/>
    </row>
    <row r="632" spans="93:95" ht="12.45">
      <c r="CO632" s="3"/>
      <c r="CP632" s="3"/>
      <c r="CQ632" s="3"/>
    </row>
    <row r="633" spans="93:95" ht="12.45">
      <c r="CO633" s="3"/>
      <c r="CP633" s="3"/>
      <c r="CQ633" s="3"/>
    </row>
    <row r="634" spans="93:95" ht="12.45">
      <c r="CO634" s="3"/>
      <c r="CP634" s="3"/>
      <c r="CQ634" s="3"/>
    </row>
    <row r="635" spans="93:95" ht="12.45">
      <c r="CO635" s="3"/>
      <c r="CP635" s="3"/>
      <c r="CQ635" s="3"/>
    </row>
    <row r="636" spans="93:95" ht="12.45">
      <c r="CO636" s="3"/>
      <c r="CP636" s="3"/>
      <c r="CQ636" s="3"/>
    </row>
    <row r="637" spans="93:95" ht="12.45">
      <c r="CO637" s="3"/>
      <c r="CP637" s="3"/>
      <c r="CQ637" s="3"/>
    </row>
    <row r="638" spans="93:95" ht="12.45">
      <c r="CO638" s="3"/>
      <c r="CP638" s="3"/>
      <c r="CQ638" s="3"/>
    </row>
    <row r="639" spans="93:95" ht="12.45">
      <c r="CO639" s="3"/>
      <c r="CP639" s="3"/>
      <c r="CQ639" s="3"/>
    </row>
    <row r="640" spans="93:95" ht="12.45">
      <c r="CO640" s="3"/>
      <c r="CP640" s="3"/>
      <c r="CQ640" s="3"/>
    </row>
    <row r="641" spans="93:95" ht="12.45">
      <c r="CO641" s="3"/>
      <c r="CP641" s="3"/>
      <c r="CQ641" s="3"/>
    </row>
    <row r="642" spans="93:95" ht="12.45">
      <c r="CO642" s="3"/>
      <c r="CP642" s="3"/>
      <c r="CQ642" s="3"/>
    </row>
    <row r="643" spans="93:95" ht="12.45">
      <c r="CO643" s="3"/>
      <c r="CP643" s="3"/>
      <c r="CQ643" s="3"/>
    </row>
    <row r="644" spans="93:95" ht="12.45">
      <c r="CO644" s="3"/>
      <c r="CP644" s="3"/>
      <c r="CQ644" s="3"/>
    </row>
    <row r="645" spans="93:95" ht="12.45">
      <c r="CO645" s="3"/>
      <c r="CP645" s="3"/>
      <c r="CQ645" s="3"/>
    </row>
    <row r="646" spans="93:95" ht="12.45">
      <c r="CO646" s="3"/>
      <c r="CP646" s="3"/>
      <c r="CQ646" s="3"/>
    </row>
    <row r="647" spans="93:95" ht="12.45">
      <c r="CO647" s="3"/>
      <c r="CP647" s="3"/>
      <c r="CQ647" s="3"/>
    </row>
    <row r="648" spans="93:95" ht="12.45">
      <c r="CO648" s="3"/>
      <c r="CP648" s="3"/>
      <c r="CQ648" s="3"/>
    </row>
    <row r="649" spans="93:95" ht="12.45">
      <c r="CO649" s="3"/>
      <c r="CP649" s="3"/>
      <c r="CQ649" s="3"/>
    </row>
    <row r="650" spans="93:95" ht="12.45">
      <c r="CO650" s="3"/>
      <c r="CP650" s="3"/>
      <c r="CQ650" s="3"/>
    </row>
    <row r="651" spans="93:95" ht="12.45">
      <c r="CO651" s="3"/>
      <c r="CP651" s="3"/>
      <c r="CQ651" s="3"/>
    </row>
    <row r="652" spans="93:95" ht="12.45">
      <c r="CO652" s="3"/>
      <c r="CP652" s="3"/>
      <c r="CQ652" s="3"/>
    </row>
    <row r="653" spans="93:95" ht="12.45">
      <c r="CO653" s="3"/>
      <c r="CP653" s="3"/>
      <c r="CQ653" s="3"/>
    </row>
    <row r="654" spans="93:95" ht="12.45">
      <c r="CO654" s="3"/>
      <c r="CP654" s="3"/>
      <c r="CQ654" s="3"/>
    </row>
    <row r="655" spans="93:95" ht="12.45">
      <c r="CO655" s="3"/>
      <c r="CP655" s="3"/>
      <c r="CQ655" s="3"/>
    </row>
    <row r="656" spans="93:95" ht="12.45">
      <c r="CO656" s="3"/>
      <c r="CP656" s="3"/>
      <c r="CQ656" s="3"/>
    </row>
    <row r="657" spans="93:95" ht="12.45">
      <c r="CO657" s="3"/>
      <c r="CP657" s="3"/>
      <c r="CQ657" s="3"/>
    </row>
    <row r="658" spans="93:95" ht="12.45">
      <c r="CO658" s="3"/>
      <c r="CP658" s="3"/>
      <c r="CQ658" s="3"/>
    </row>
    <row r="659" spans="93:95" ht="12.45">
      <c r="CO659" s="3"/>
      <c r="CP659" s="3"/>
      <c r="CQ659" s="3"/>
    </row>
    <row r="660" spans="93:95" ht="12.45">
      <c r="CO660" s="3"/>
      <c r="CP660" s="3"/>
      <c r="CQ660" s="3"/>
    </row>
    <row r="661" spans="93:95" ht="12.45">
      <c r="CO661" s="3"/>
      <c r="CP661" s="3"/>
      <c r="CQ661" s="3"/>
    </row>
    <row r="662" spans="93:95" ht="12.45">
      <c r="CO662" s="3"/>
      <c r="CP662" s="3"/>
      <c r="CQ662" s="3"/>
    </row>
    <row r="663" spans="93:95" ht="12.45">
      <c r="CO663" s="3"/>
      <c r="CP663" s="3"/>
      <c r="CQ663" s="3"/>
    </row>
    <row r="664" spans="93:95" ht="12.45">
      <c r="CO664" s="3"/>
      <c r="CP664" s="3"/>
      <c r="CQ664" s="3"/>
    </row>
    <row r="665" spans="93:95" ht="12.45">
      <c r="CO665" s="3"/>
      <c r="CP665" s="3"/>
      <c r="CQ665" s="3"/>
    </row>
    <row r="666" spans="93:95" ht="12.45">
      <c r="CO666" s="3"/>
      <c r="CP666" s="3"/>
      <c r="CQ666" s="3"/>
    </row>
    <row r="667" spans="93:95" ht="12.45">
      <c r="CO667" s="3"/>
      <c r="CP667" s="3"/>
      <c r="CQ667" s="3"/>
    </row>
    <row r="668" spans="93:95" ht="12.45">
      <c r="CO668" s="3"/>
      <c r="CP668" s="3"/>
      <c r="CQ668" s="3"/>
    </row>
    <row r="669" spans="93:95" ht="12.45">
      <c r="CO669" s="3"/>
      <c r="CP669" s="3"/>
      <c r="CQ669" s="3"/>
    </row>
    <row r="670" spans="93:95" ht="12.45">
      <c r="CO670" s="3"/>
      <c r="CP670" s="3"/>
      <c r="CQ670" s="3"/>
    </row>
    <row r="671" spans="93:95" ht="12.45">
      <c r="CO671" s="3"/>
      <c r="CP671" s="3"/>
      <c r="CQ671" s="3"/>
    </row>
    <row r="672" spans="93:95" ht="12.45">
      <c r="CO672" s="3"/>
      <c r="CP672" s="3"/>
      <c r="CQ672" s="3"/>
    </row>
    <row r="673" spans="93:95" ht="12.45">
      <c r="CO673" s="3"/>
      <c r="CP673" s="3"/>
      <c r="CQ673" s="3"/>
    </row>
    <row r="674" spans="93:95" ht="12.45">
      <c r="CO674" s="3"/>
      <c r="CP674" s="3"/>
      <c r="CQ674" s="3"/>
    </row>
    <row r="675" spans="93:95" ht="12.45">
      <c r="CO675" s="3"/>
      <c r="CP675" s="3"/>
      <c r="CQ675" s="3"/>
    </row>
    <row r="676" spans="93:95" ht="12.45">
      <c r="CO676" s="3"/>
      <c r="CP676" s="3"/>
      <c r="CQ676" s="3"/>
    </row>
    <row r="677" spans="93:95" ht="12.45">
      <c r="CO677" s="3"/>
      <c r="CP677" s="3"/>
      <c r="CQ677" s="3"/>
    </row>
    <row r="678" spans="93:95" ht="12.45">
      <c r="CO678" s="3"/>
      <c r="CP678" s="3"/>
      <c r="CQ678" s="3"/>
    </row>
    <row r="679" spans="93:95" ht="12.45">
      <c r="CO679" s="3"/>
      <c r="CP679" s="3"/>
      <c r="CQ679" s="3"/>
    </row>
    <row r="680" spans="93:95" ht="12.45">
      <c r="CO680" s="3"/>
      <c r="CP680" s="3"/>
      <c r="CQ680" s="3"/>
    </row>
    <row r="681" spans="93:95" ht="12.45">
      <c r="CO681" s="3"/>
      <c r="CP681" s="3"/>
      <c r="CQ681" s="3"/>
    </row>
    <row r="682" spans="93:95" ht="12.45">
      <c r="CO682" s="3"/>
      <c r="CP682" s="3"/>
      <c r="CQ682" s="3"/>
    </row>
    <row r="683" spans="93:95" ht="12.45">
      <c r="CO683" s="3"/>
      <c r="CP683" s="3"/>
      <c r="CQ683" s="3"/>
    </row>
    <row r="684" spans="93:95" ht="12.45">
      <c r="CO684" s="3"/>
      <c r="CP684" s="3"/>
      <c r="CQ684" s="3"/>
    </row>
    <row r="685" spans="93:95" ht="12.45">
      <c r="CO685" s="3"/>
      <c r="CP685" s="3"/>
      <c r="CQ685" s="3"/>
    </row>
    <row r="686" spans="93:95" ht="12.45">
      <c r="CO686" s="3"/>
      <c r="CP686" s="3"/>
      <c r="CQ686" s="3"/>
    </row>
    <row r="687" spans="93:95" ht="12.45">
      <c r="CO687" s="3"/>
      <c r="CP687" s="3"/>
      <c r="CQ687" s="3"/>
    </row>
    <row r="688" spans="93:95" ht="12.45">
      <c r="CO688" s="3"/>
      <c r="CP688" s="3"/>
      <c r="CQ688" s="3"/>
    </row>
    <row r="689" spans="93:95" ht="12.45">
      <c r="CO689" s="3"/>
      <c r="CP689" s="3"/>
      <c r="CQ689" s="3"/>
    </row>
    <row r="690" spans="93:95" ht="12.45">
      <c r="CO690" s="3"/>
      <c r="CP690" s="3"/>
      <c r="CQ690" s="3"/>
    </row>
    <row r="691" spans="93:95" ht="12.45">
      <c r="CO691" s="3"/>
      <c r="CP691" s="3"/>
      <c r="CQ691" s="3"/>
    </row>
    <row r="692" spans="93:95" ht="12.45">
      <c r="CO692" s="3"/>
      <c r="CP692" s="3"/>
      <c r="CQ692" s="3"/>
    </row>
    <row r="693" spans="93:95" ht="12.45">
      <c r="CO693" s="3"/>
      <c r="CP693" s="3"/>
      <c r="CQ693" s="3"/>
    </row>
    <row r="694" spans="93:95" ht="12.45">
      <c r="CO694" s="3"/>
      <c r="CP694" s="3"/>
      <c r="CQ694" s="3"/>
    </row>
    <row r="695" spans="93:95" ht="12.45">
      <c r="CO695" s="3"/>
      <c r="CP695" s="3"/>
      <c r="CQ695" s="3"/>
    </row>
    <row r="696" spans="93:95" ht="12.45">
      <c r="CO696" s="3"/>
      <c r="CP696" s="3"/>
      <c r="CQ696" s="3"/>
    </row>
    <row r="697" spans="93:95" ht="12.45">
      <c r="CO697" s="3"/>
      <c r="CP697" s="3"/>
      <c r="CQ697" s="3"/>
    </row>
    <row r="698" spans="93:95" ht="12.45">
      <c r="CO698" s="3"/>
      <c r="CP698" s="3"/>
      <c r="CQ698" s="3"/>
    </row>
    <row r="699" spans="93:95" ht="12.45">
      <c r="CO699" s="3"/>
      <c r="CP699" s="3"/>
      <c r="CQ699" s="3"/>
    </row>
    <row r="700" spans="93:95" ht="12.45">
      <c r="CO700" s="3"/>
      <c r="CP700" s="3"/>
      <c r="CQ700" s="3"/>
    </row>
    <row r="701" spans="93:95" ht="12.45">
      <c r="CO701" s="3"/>
      <c r="CP701" s="3"/>
      <c r="CQ701" s="3"/>
    </row>
    <row r="702" spans="93:95" ht="12.45">
      <c r="CO702" s="3"/>
      <c r="CP702" s="3"/>
      <c r="CQ702" s="3"/>
    </row>
    <row r="703" spans="93:95" ht="12.45">
      <c r="CO703" s="3"/>
      <c r="CP703" s="3"/>
      <c r="CQ703" s="3"/>
    </row>
    <row r="704" spans="93:95" ht="12.45">
      <c r="CO704" s="3"/>
      <c r="CP704" s="3"/>
      <c r="CQ704" s="3"/>
    </row>
    <row r="705" spans="93:95" ht="12.45">
      <c r="CO705" s="3"/>
      <c r="CP705" s="3"/>
      <c r="CQ705" s="3"/>
    </row>
    <row r="706" spans="93:95" ht="12.45">
      <c r="CO706" s="3"/>
      <c r="CP706" s="3"/>
      <c r="CQ706" s="3"/>
    </row>
    <row r="707" spans="93:95" ht="12.45">
      <c r="CO707" s="3"/>
      <c r="CP707" s="3"/>
      <c r="CQ707" s="3"/>
    </row>
    <row r="708" spans="93:95" ht="12.45">
      <c r="CO708" s="3"/>
      <c r="CP708" s="3"/>
      <c r="CQ708" s="3"/>
    </row>
    <row r="709" spans="93:95" ht="12.45">
      <c r="CO709" s="3"/>
      <c r="CP709" s="3"/>
      <c r="CQ709" s="3"/>
    </row>
    <row r="710" spans="93:95" ht="12.45">
      <c r="CO710" s="3"/>
      <c r="CP710" s="3"/>
      <c r="CQ710" s="3"/>
    </row>
    <row r="711" spans="93:95" ht="12.45">
      <c r="CO711" s="3"/>
      <c r="CP711" s="3"/>
      <c r="CQ711" s="3"/>
    </row>
    <row r="712" spans="93:95" ht="12.45">
      <c r="CO712" s="3"/>
      <c r="CP712" s="3"/>
      <c r="CQ712" s="3"/>
    </row>
    <row r="713" spans="93:95" ht="12.45">
      <c r="CO713" s="3"/>
      <c r="CP713" s="3"/>
      <c r="CQ713" s="3"/>
    </row>
    <row r="714" spans="93:95" ht="12.45">
      <c r="CO714" s="3"/>
      <c r="CP714" s="3"/>
      <c r="CQ714" s="3"/>
    </row>
    <row r="715" spans="93:95" ht="12.45">
      <c r="CO715" s="3"/>
      <c r="CP715" s="3"/>
      <c r="CQ715" s="3"/>
    </row>
    <row r="716" spans="93:95" ht="12.45">
      <c r="CO716" s="3"/>
      <c r="CP716" s="3"/>
      <c r="CQ716" s="3"/>
    </row>
    <row r="717" spans="93:95" ht="12.45">
      <c r="CO717" s="3"/>
      <c r="CP717" s="3"/>
      <c r="CQ717" s="3"/>
    </row>
    <row r="718" spans="93:95" ht="12.45">
      <c r="CO718" s="3"/>
      <c r="CP718" s="3"/>
      <c r="CQ718" s="3"/>
    </row>
    <row r="719" spans="93:95" ht="12.45">
      <c r="CO719" s="3"/>
      <c r="CP719" s="3"/>
      <c r="CQ719" s="3"/>
    </row>
    <row r="720" spans="93:95" ht="12.45">
      <c r="CO720" s="3"/>
      <c r="CP720" s="3"/>
      <c r="CQ720" s="3"/>
    </row>
    <row r="721" spans="93:95" ht="12.45">
      <c r="CO721" s="3"/>
      <c r="CP721" s="3"/>
      <c r="CQ721" s="3"/>
    </row>
    <row r="722" spans="93:95" ht="12.45">
      <c r="CO722" s="3"/>
      <c r="CP722" s="3"/>
      <c r="CQ722" s="3"/>
    </row>
    <row r="723" spans="93:95" ht="12.45">
      <c r="CO723" s="3"/>
      <c r="CP723" s="3"/>
      <c r="CQ723" s="3"/>
    </row>
    <row r="724" spans="93:95" ht="12.45">
      <c r="CO724" s="3"/>
      <c r="CP724" s="3"/>
      <c r="CQ724" s="3"/>
    </row>
    <row r="725" spans="93:95" ht="12.45">
      <c r="CO725" s="3"/>
      <c r="CP725" s="3"/>
      <c r="CQ725" s="3"/>
    </row>
    <row r="726" spans="93:95" ht="12.45">
      <c r="CO726" s="3"/>
      <c r="CP726" s="3"/>
      <c r="CQ726" s="3"/>
    </row>
    <row r="727" spans="93:95" ht="12.45">
      <c r="CO727" s="3"/>
      <c r="CP727" s="3"/>
      <c r="CQ727" s="3"/>
    </row>
    <row r="728" spans="93:95" ht="12.45">
      <c r="CO728" s="3"/>
      <c r="CP728" s="3"/>
      <c r="CQ728" s="3"/>
    </row>
    <row r="729" spans="93:95" ht="12.45">
      <c r="CO729" s="3"/>
      <c r="CP729" s="3"/>
      <c r="CQ729" s="3"/>
    </row>
    <row r="730" spans="93:95" ht="12.45">
      <c r="CO730" s="3"/>
      <c r="CP730" s="3"/>
      <c r="CQ730" s="3"/>
    </row>
    <row r="731" spans="93:95" ht="12.45">
      <c r="CO731" s="3"/>
      <c r="CP731" s="3"/>
      <c r="CQ731" s="3"/>
    </row>
    <row r="732" spans="93:95" ht="12.45">
      <c r="CO732" s="3"/>
      <c r="CP732" s="3"/>
      <c r="CQ732" s="3"/>
    </row>
    <row r="733" spans="93:95" ht="12.45">
      <c r="CO733" s="3"/>
      <c r="CP733" s="3"/>
      <c r="CQ733" s="3"/>
    </row>
    <row r="734" spans="93:95" ht="12.45">
      <c r="CO734" s="3"/>
      <c r="CP734" s="3"/>
      <c r="CQ734" s="3"/>
    </row>
    <row r="735" spans="93:95" ht="12.45">
      <c r="CO735" s="3"/>
      <c r="CP735" s="3"/>
      <c r="CQ735" s="3"/>
    </row>
    <row r="736" spans="93:95" ht="12.45">
      <c r="CO736" s="3"/>
      <c r="CP736" s="3"/>
      <c r="CQ736" s="3"/>
    </row>
    <row r="737" spans="93:95" ht="12.45">
      <c r="CO737" s="3"/>
      <c r="CP737" s="3"/>
      <c r="CQ737" s="3"/>
    </row>
    <row r="738" spans="93:95" ht="12.45">
      <c r="CO738" s="3"/>
      <c r="CP738" s="3"/>
      <c r="CQ738" s="3"/>
    </row>
    <row r="739" spans="93:95" ht="12.45">
      <c r="CO739" s="3"/>
      <c r="CP739" s="3"/>
      <c r="CQ739" s="3"/>
    </row>
    <row r="740" spans="93:95" ht="12.45">
      <c r="CO740" s="3"/>
      <c r="CP740" s="3"/>
      <c r="CQ740" s="3"/>
    </row>
    <row r="741" spans="93:95" ht="12.45">
      <c r="CO741" s="3"/>
      <c r="CP741" s="3"/>
      <c r="CQ741" s="3"/>
    </row>
    <row r="742" spans="93:95" ht="12.45">
      <c r="CO742" s="3"/>
      <c r="CP742" s="3"/>
      <c r="CQ742" s="3"/>
    </row>
    <row r="743" spans="93:95" ht="12.45">
      <c r="CO743" s="3"/>
      <c r="CP743" s="3"/>
      <c r="CQ743" s="3"/>
    </row>
    <row r="744" spans="93:95" ht="12.45">
      <c r="CO744" s="3"/>
      <c r="CP744" s="3"/>
      <c r="CQ744" s="3"/>
    </row>
    <row r="745" spans="93:95" ht="12.45">
      <c r="CO745" s="3"/>
      <c r="CP745" s="3"/>
      <c r="CQ745" s="3"/>
    </row>
    <row r="746" spans="93:95" ht="12.45">
      <c r="CO746" s="3"/>
      <c r="CP746" s="3"/>
      <c r="CQ746" s="3"/>
    </row>
    <row r="747" spans="93:95" ht="12.45">
      <c r="CO747" s="3"/>
      <c r="CP747" s="3"/>
      <c r="CQ747" s="3"/>
    </row>
    <row r="748" spans="93:95" ht="12.45">
      <c r="CO748" s="3"/>
      <c r="CP748" s="3"/>
      <c r="CQ748" s="3"/>
    </row>
    <row r="749" spans="93:95" ht="12.45">
      <c r="CO749" s="3"/>
      <c r="CP749" s="3"/>
      <c r="CQ749" s="3"/>
    </row>
    <row r="750" spans="93:95" ht="12.45">
      <c r="CO750" s="3"/>
      <c r="CP750" s="3"/>
      <c r="CQ750" s="3"/>
    </row>
    <row r="751" spans="93:95" ht="12.45">
      <c r="CO751" s="3"/>
      <c r="CP751" s="3"/>
      <c r="CQ751" s="3"/>
    </row>
    <row r="752" spans="93:95" ht="12.45">
      <c r="CO752" s="3"/>
      <c r="CP752" s="3"/>
      <c r="CQ752" s="3"/>
    </row>
    <row r="753" spans="93:95" ht="12.45">
      <c r="CO753" s="3"/>
      <c r="CP753" s="3"/>
      <c r="CQ753" s="3"/>
    </row>
    <row r="754" spans="93:95" ht="12.45">
      <c r="CO754" s="3"/>
      <c r="CP754" s="3"/>
      <c r="CQ754" s="3"/>
    </row>
    <row r="755" spans="93:95" ht="12.45">
      <c r="CO755" s="3"/>
      <c r="CP755" s="3"/>
      <c r="CQ755" s="3"/>
    </row>
    <row r="756" spans="93:95" ht="12.45">
      <c r="CO756" s="3"/>
      <c r="CP756" s="3"/>
      <c r="CQ756" s="3"/>
    </row>
    <row r="757" spans="93:95" ht="12.45">
      <c r="CO757" s="3"/>
      <c r="CP757" s="3"/>
      <c r="CQ757" s="3"/>
    </row>
    <row r="758" spans="93:95" ht="12.45">
      <c r="CO758" s="3"/>
      <c r="CP758" s="3"/>
      <c r="CQ758" s="3"/>
    </row>
    <row r="759" spans="93:95" ht="12.45">
      <c r="CO759" s="3"/>
      <c r="CP759" s="3"/>
      <c r="CQ759" s="3"/>
    </row>
    <row r="760" spans="93:95" ht="12.45">
      <c r="CO760" s="3"/>
      <c r="CP760" s="3"/>
      <c r="CQ760" s="3"/>
    </row>
    <row r="761" spans="93:95" ht="12.45">
      <c r="CO761" s="3"/>
      <c r="CP761" s="3"/>
      <c r="CQ761" s="3"/>
    </row>
    <row r="762" spans="93:95" ht="12.45">
      <c r="CO762" s="3"/>
      <c r="CP762" s="3"/>
      <c r="CQ762" s="3"/>
    </row>
    <row r="763" spans="93:95" ht="12.45">
      <c r="CO763" s="3"/>
      <c r="CP763" s="3"/>
      <c r="CQ763" s="3"/>
    </row>
    <row r="764" spans="93:95" ht="12.45">
      <c r="CO764" s="3"/>
      <c r="CP764" s="3"/>
      <c r="CQ764" s="3"/>
    </row>
    <row r="765" spans="93:95" ht="12.45">
      <c r="CO765" s="3"/>
      <c r="CP765" s="3"/>
      <c r="CQ765" s="3"/>
    </row>
    <row r="766" spans="93:95" ht="12.45">
      <c r="CO766" s="3"/>
      <c r="CP766" s="3"/>
      <c r="CQ766" s="3"/>
    </row>
    <row r="767" spans="93:95" ht="12.45">
      <c r="CO767" s="3"/>
      <c r="CP767" s="3"/>
      <c r="CQ767" s="3"/>
    </row>
    <row r="768" spans="93:95" ht="12.45">
      <c r="CO768" s="3"/>
      <c r="CP768" s="3"/>
      <c r="CQ768" s="3"/>
    </row>
    <row r="769" spans="93:95" ht="12.45">
      <c r="CO769" s="3"/>
      <c r="CP769" s="3"/>
      <c r="CQ769" s="3"/>
    </row>
    <row r="770" spans="93:95" ht="12.45">
      <c r="CO770" s="3"/>
      <c r="CP770" s="3"/>
      <c r="CQ770" s="3"/>
    </row>
    <row r="771" spans="93:95" ht="12.45">
      <c r="CO771" s="3"/>
      <c r="CP771" s="3"/>
      <c r="CQ771" s="3"/>
    </row>
    <row r="772" spans="93:95" ht="12.45">
      <c r="CO772" s="3"/>
      <c r="CP772" s="3"/>
      <c r="CQ772" s="3"/>
    </row>
    <row r="773" spans="93:95" ht="12.45">
      <c r="CO773" s="3"/>
      <c r="CP773" s="3"/>
      <c r="CQ773" s="3"/>
    </row>
    <row r="774" spans="93:95" ht="12.45">
      <c r="CO774" s="3"/>
      <c r="CP774" s="3"/>
      <c r="CQ774" s="3"/>
    </row>
    <row r="775" spans="93:95" ht="12.45">
      <c r="CO775" s="3"/>
      <c r="CP775" s="3"/>
      <c r="CQ775" s="3"/>
    </row>
    <row r="776" spans="93:95" ht="12.45">
      <c r="CO776" s="3"/>
      <c r="CP776" s="3"/>
      <c r="CQ776" s="3"/>
    </row>
    <row r="777" spans="93:95" ht="12.45">
      <c r="CO777" s="3"/>
      <c r="CP777" s="3"/>
      <c r="CQ777" s="3"/>
    </row>
    <row r="778" spans="93:95" ht="12.45">
      <c r="CO778" s="3"/>
      <c r="CP778" s="3"/>
      <c r="CQ778" s="3"/>
    </row>
    <row r="779" spans="93:95" ht="12.45">
      <c r="CO779" s="3"/>
      <c r="CP779" s="3"/>
      <c r="CQ779" s="3"/>
    </row>
    <row r="780" spans="93:95" ht="12.45">
      <c r="CO780" s="3"/>
      <c r="CP780" s="3"/>
      <c r="CQ780" s="3"/>
    </row>
    <row r="781" spans="93:95" ht="12.45">
      <c r="CO781" s="3"/>
      <c r="CP781" s="3"/>
      <c r="CQ781" s="3"/>
    </row>
    <row r="782" spans="93:95" ht="12.45">
      <c r="CO782" s="3"/>
      <c r="CP782" s="3"/>
      <c r="CQ782" s="3"/>
    </row>
    <row r="783" spans="93:95" ht="12.45">
      <c r="CO783" s="3"/>
      <c r="CP783" s="3"/>
      <c r="CQ783" s="3"/>
    </row>
    <row r="784" spans="93:95" ht="12.45">
      <c r="CO784" s="3"/>
      <c r="CP784" s="3"/>
      <c r="CQ784" s="3"/>
    </row>
    <row r="785" spans="93:95" ht="12.45">
      <c r="CO785" s="3"/>
      <c r="CP785" s="3"/>
      <c r="CQ785" s="3"/>
    </row>
    <row r="786" spans="93:95" ht="12.45">
      <c r="CO786" s="3"/>
      <c r="CP786" s="3"/>
      <c r="CQ786" s="3"/>
    </row>
    <row r="787" spans="93:95" ht="12.45">
      <c r="CO787" s="3"/>
      <c r="CP787" s="3"/>
      <c r="CQ787" s="3"/>
    </row>
    <row r="788" spans="93:95" ht="12.45">
      <c r="CO788" s="3"/>
      <c r="CP788" s="3"/>
      <c r="CQ788" s="3"/>
    </row>
    <row r="789" spans="93:95" ht="12.45">
      <c r="CO789" s="3"/>
      <c r="CP789" s="3"/>
      <c r="CQ789" s="3"/>
    </row>
    <row r="790" spans="93:95" ht="12.45">
      <c r="CO790" s="3"/>
      <c r="CP790" s="3"/>
      <c r="CQ790" s="3"/>
    </row>
    <row r="791" spans="93:95" ht="12.45">
      <c r="CO791" s="3"/>
      <c r="CP791" s="3"/>
      <c r="CQ791" s="3"/>
    </row>
    <row r="792" spans="93:95" ht="12.45">
      <c r="CO792" s="3"/>
      <c r="CP792" s="3"/>
      <c r="CQ792" s="3"/>
    </row>
    <row r="793" spans="93:95" ht="12.45">
      <c r="CO793" s="3"/>
      <c r="CP793" s="3"/>
      <c r="CQ793" s="3"/>
    </row>
    <row r="794" spans="93:95" ht="12.45">
      <c r="CO794" s="3"/>
      <c r="CP794" s="3"/>
      <c r="CQ794" s="3"/>
    </row>
    <row r="795" spans="93:95" ht="12.45">
      <c r="CO795" s="3"/>
      <c r="CP795" s="3"/>
      <c r="CQ795" s="3"/>
    </row>
    <row r="796" spans="93:95" ht="12.45">
      <c r="CO796" s="3"/>
      <c r="CP796" s="3"/>
      <c r="CQ796" s="3"/>
    </row>
    <row r="797" spans="93:95" ht="12.45">
      <c r="CO797" s="3"/>
      <c r="CP797" s="3"/>
      <c r="CQ797" s="3"/>
    </row>
    <row r="798" spans="93:95" ht="12.45">
      <c r="CO798" s="3"/>
      <c r="CP798" s="3"/>
      <c r="CQ798" s="3"/>
    </row>
    <row r="799" spans="93:95" ht="12.45">
      <c r="CO799" s="3"/>
      <c r="CP799" s="3"/>
      <c r="CQ799" s="3"/>
    </row>
    <row r="800" spans="93:95" ht="12.45">
      <c r="CO800" s="3"/>
      <c r="CP800" s="3"/>
      <c r="CQ800" s="3"/>
    </row>
    <row r="801" spans="93:95" ht="12.45">
      <c r="CO801" s="3"/>
      <c r="CP801" s="3"/>
      <c r="CQ801" s="3"/>
    </row>
    <row r="802" spans="93:95" ht="12.45">
      <c r="CO802" s="3"/>
      <c r="CP802" s="3"/>
      <c r="CQ802" s="3"/>
    </row>
    <row r="803" spans="93:95" ht="12.45">
      <c r="CO803" s="3"/>
      <c r="CP803" s="3"/>
      <c r="CQ803" s="3"/>
    </row>
    <row r="804" spans="93:95" ht="12.45">
      <c r="CO804" s="3"/>
      <c r="CP804" s="3"/>
      <c r="CQ804" s="3"/>
    </row>
    <row r="805" spans="93:95" ht="12.45">
      <c r="CO805" s="3"/>
      <c r="CP805" s="3"/>
      <c r="CQ805" s="3"/>
    </row>
    <row r="806" spans="93:95" ht="12.45">
      <c r="CO806" s="3"/>
      <c r="CP806" s="3"/>
      <c r="CQ806" s="3"/>
    </row>
    <row r="807" spans="93:95" ht="12.45">
      <c r="CO807" s="3"/>
      <c r="CP807" s="3"/>
      <c r="CQ807" s="3"/>
    </row>
    <row r="808" spans="93:95" ht="12.45">
      <c r="CO808" s="3"/>
      <c r="CP808" s="3"/>
      <c r="CQ808" s="3"/>
    </row>
    <row r="809" spans="93:95" ht="12.45">
      <c r="CO809" s="3"/>
      <c r="CP809" s="3"/>
      <c r="CQ809" s="3"/>
    </row>
    <row r="810" spans="93:95" ht="12.45">
      <c r="CO810" s="3"/>
      <c r="CP810" s="3"/>
      <c r="CQ810" s="3"/>
    </row>
    <row r="811" spans="93:95" ht="12.45">
      <c r="CO811" s="3"/>
      <c r="CP811" s="3"/>
      <c r="CQ811" s="3"/>
    </row>
    <row r="812" spans="93:95" ht="12.45">
      <c r="CO812" s="3"/>
      <c r="CP812" s="3"/>
      <c r="CQ812" s="3"/>
    </row>
    <row r="813" spans="93:95" ht="12.45">
      <c r="CO813" s="3"/>
      <c r="CP813" s="3"/>
      <c r="CQ813" s="3"/>
    </row>
    <row r="814" spans="93:95" ht="12.45">
      <c r="CO814" s="3"/>
      <c r="CP814" s="3"/>
      <c r="CQ814" s="3"/>
    </row>
    <row r="815" spans="93:95" ht="12.45">
      <c r="CO815" s="3"/>
      <c r="CP815" s="3"/>
      <c r="CQ815" s="3"/>
    </row>
    <row r="816" spans="93:95" ht="12.45">
      <c r="CO816" s="3"/>
      <c r="CP816" s="3"/>
      <c r="CQ816" s="3"/>
    </row>
    <row r="817" spans="93:95" ht="12.45">
      <c r="CO817" s="3"/>
      <c r="CP817" s="3"/>
      <c r="CQ817" s="3"/>
    </row>
    <row r="818" spans="93:95" ht="12.45">
      <c r="CO818" s="3"/>
      <c r="CP818" s="3"/>
      <c r="CQ818" s="3"/>
    </row>
    <row r="819" spans="93:95" ht="12.45">
      <c r="CO819" s="3"/>
      <c r="CP819" s="3"/>
      <c r="CQ819" s="3"/>
    </row>
    <row r="820" spans="93:95" ht="12.45">
      <c r="CO820" s="3"/>
      <c r="CP820" s="3"/>
      <c r="CQ820" s="3"/>
    </row>
    <row r="821" spans="93:95" ht="12.45">
      <c r="CO821" s="3"/>
      <c r="CP821" s="3"/>
      <c r="CQ821" s="3"/>
    </row>
    <row r="822" spans="93:95" ht="12.45">
      <c r="CO822" s="3"/>
      <c r="CP822" s="3"/>
      <c r="CQ822" s="3"/>
    </row>
    <row r="823" spans="93:95" ht="12.45">
      <c r="CO823" s="3"/>
      <c r="CP823" s="3"/>
      <c r="CQ823" s="3"/>
    </row>
    <row r="824" spans="93:95" ht="12.45">
      <c r="CO824" s="3"/>
      <c r="CP824" s="3"/>
      <c r="CQ824" s="3"/>
    </row>
    <row r="825" spans="93:95" ht="12.45">
      <c r="CO825" s="3"/>
      <c r="CP825" s="3"/>
      <c r="CQ825" s="3"/>
    </row>
    <row r="826" spans="93:95" ht="12.45">
      <c r="CO826" s="3"/>
      <c r="CP826" s="3"/>
      <c r="CQ826" s="3"/>
    </row>
    <row r="827" spans="93:95" ht="12.45">
      <c r="CO827" s="3"/>
      <c r="CP827" s="3"/>
      <c r="CQ827" s="3"/>
    </row>
    <row r="828" spans="93:95" ht="12.45">
      <c r="CO828" s="3"/>
      <c r="CP828" s="3"/>
      <c r="CQ828" s="3"/>
    </row>
    <row r="829" spans="93:95" ht="12.45">
      <c r="CO829" s="3"/>
      <c r="CP829" s="3"/>
      <c r="CQ829" s="3"/>
    </row>
    <row r="830" spans="93:95" ht="12.45">
      <c r="CO830" s="3"/>
      <c r="CP830" s="3"/>
      <c r="CQ830" s="3"/>
    </row>
    <row r="831" spans="93:95" ht="12.45">
      <c r="CO831" s="3"/>
      <c r="CP831" s="3"/>
      <c r="CQ831" s="3"/>
    </row>
    <row r="832" spans="93:95" ht="12.45">
      <c r="CO832" s="3"/>
      <c r="CP832" s="3"/>
      <c r="CQ832" s="3"/>
    </row>
    <row r="833" spans="93:95" ht="12.45">
      <c r="CO833" s="3"/>
      <c r="CP833" s="3"/>
      <c r="CQ833" s="3"/>
    </row>
    <row r="834" spans="93:95" ht="12.45">
      <c r="CO834" s="3"/>
      <c r="CP834" s="3"/>
      <c r="CQ834" s="3"/>
    </row>
    <row r="835" spans="93:95" ht="12.45">
      <c r="CO835" s="3"/>
      <c r="CP835" s="3"/>
      <c r="CQ835" s="3"/>
    </row>
    <row r="836" spans="93:95" ht="12.45">
      <c r="CO836" s="3"/>
      <c r="CP836" s="3"/>
      <c r="CQ836" s="3"/>
    </row>
    <row r="837" spans="93:95" ht="12.45">
      <c r="CO837" s="3"/>
      <c r="CP837" s="3"/>
      <c r="CQ837" s="3"/>
    </row>
    <row r="838" spans="93:95" ht="12.45">
      <c r="CO838" s="3"/>
      <c r="CP838" s="3"/>
      <c r="CQ838" s="3"/>
    </row>
    <row r="839" spans="93:95" ht="12.45">
      <c r="CO839" s="3"/>
      <c r="CP839" s="3"/>
      <c r="CQ839" s="3"/>
    </row>
    <row r="840" spans="93:95" ht="12.45">
      <c r="CO840" s="3"/>
      <c r="CP840" s="3"/>
      <c r="CQ840" s="3"/>
    </row>
    <row r="841" spans="93:95" ht="12.45">
      <c r="CO841" s="3"/>
      <c r="CP841" s="3"/>
      <c r="CQ841" s="3"/>
    </row>
    <row r="842" spans="93:95" ht="12.45">
      <c r="CO842" s="3"/>
      <c r="CP842" s="3"/>
      <c r="CQ842" s="3"/>
    </row>
    <row r="843" spans="93:95" ht="12.45">
      <c r="CO843" s="3"/>
      <c r="CP843" s="3"/>
      <c r="CQ843" s="3"/>
    </row>
    <row r="844" spans="93:95" ht="12.45">
      <c r="CO844" s="3"/>
      <c r="CP844" s="3"/>
      <c r="CQ844" s="3"/>
    </row>
    <row r="845" spans="93:95" ht="12.45">
      <c r="CO845" s="3"/>
      <c r="CP845" s="3"/>
      <c r="CQ845" s="3"/>
    </row>
    <row r="846" spans="93:95" ht="12.45">
      <c r="CO846" s="3"/>
      <c r="CP846" s="3"/>
      <c r="CQ846" s="3"/>
    </row>
    <row r="847" spans="93:95" ht="12.45">
      <c r="CO847" s="3"/>
      <c r="CP847" s="3"/>
      <c r="CQ847" s="3"/>
    </row>
    <row r="848" spans="93:95" ht="12.45">
      <c r="CO848" s="3"/>
      <c r="CP848" s="3"/>
      <c r="CQ848" s="3"/>
    </row>
    <row r="849" spans="93:95" ht="12.45">
      <c r="CO849" s="3"/>
      <c r="CP849" s="3"/>
      <c r="CQ849" s="3"/>
    </row>
    <row r="850" spans="93:95" ht="12.45">
      <c r="CO850" s="3"/>
      <c r="CP850" s="3"/>
      <c r="CQ850" s="3"/>
    </row>
    <row r="851" spans="93:95" ht="12.45">
      <c r="CO851" s="3"/>
      <c r="CP851" s="3"/>
      <c r="CQ851" s="3"/>
    </row>
    <row r="852" spans="93:95" ht="12.45">
      <c r="CO852" s="3"/>
      <c r="CP852" s="3"/>
      <c r="CQ852" s="3"/>
    </row>
    <row r="853" spans="93:95" ht="12.45">
      <c r="CO853" s="3"/>
      <c r="CP853" s="3"/>
      <c r="CQ853" s="3"/>
    </row>
    <row r="854" spans="93:95" ht="12.45">
      <c r="CO854" s="3"/>
      <c r="CP854" s="3"/>
      <c r="CQ854" s="3"/>
    </row>
    <row r="855" spans="93:95" ht="12.45">
      <c r="CO855" s="3"/>
      <c r="CP855" s="3"/>
      <c r="CQ855" s="3"/>
    </row>
    <row r="856" spans="93:95" ht="12.45">
      <c r="CO856" s="3"/>
      <c r="CP856" s="3"/>
      <c r="CQ856" s="3"/>
    </row>
    <row r="857" spans="93:95" ht="12.45">
      <c r="CO857" s="3"/>
      <c r="CP857" s="3"/>
      <c r="CQ857" s="3"/>
    </row>
    <row r="858" spans="93:95" ht="12.45">
      <c r="CO858" s="3"/>
      <c r="CP858" s="3"/>
      <c r="CQ858" s="3"/>
    </row>
    <row r="859" spans="93:95" ht="12.45">
      <c r="CO859" s="3"/>
      <c r="CP859" s="3"/>
      <c r="CQ859" s="3"/>
    </row>
    <row r="860" spans="93:95" ht="12.45">
      <c r="CO860" s="3"/>
      <c r="CP860" s="3"/>
      <c r="CQ860" s="3"/>
    </row>
    <row r="861" spans="93:95" ht="12.45">
      <c r="CO861" s="3"/>
      <c r="CP861" s="3"/>
      <c r="CQ861" s="3"/>
    </row>
    <row r="862" spans="93:95" ht="12.45">
      <c r="CO862" s="3"/>
      <c r="CP862" s="3"/>
      <c r="CQ862" s="3"/>
    </row>
    <row r="863" spans="93:95" ht="12.45">
      <c r="CO863" s="3"/>
      <c r="CP863" s="3"/>
      <c r="CQ863" s="3"/>
    </row>
    <row r="864" spans="93:95" ht="12.45">
      <c r="CO864" s="3"/>
      <c r="CP864" s="3"/>
      <c r="CQ864" s="3"/>
    </row>
    <row r="865" spans="93:95" ht="12.45">
      <c r="CO865" s="3"/>
      <c r="CP865" s="3"/>
      <c r="CQ865" s="3"/>
    </row>
    <row r="866" spans="93:95" ht="12.45">
      <c r="CO866" s="3"/>
      <c r="CP866" s="3"/>
      <c r="CQ866" s="3"/>
    </row>
    <row r="867" spans="93:95" ht="12.45">
      <c r="CO867" s="3"/>
      <c r="CP867" s="3"/>
      <c r="CQ867" s="3"/>
    </row>
    <row r="868" spans="93:95" ht="12.45">
      <c r="CO868" s="3"/>
      <c r="CP868" s="3"/>
      <c r="CQ868" s="3"/>
    </row>
    <row r="869" spans="93:95" ht="12.45">
      <c r="CO869" s="3"/>
      <c r="CP869" s="3"/>
      <c r="CQ869" s="3"/>
    </row>
    <row r="870" spans="93:95" ht="12.45">
      <c r="CO870" s="3"/>
      <c r="CP870" s="3"/>
      <c r="CQ870" s="3"/>
    </row>
    <row r="871" spans="93:95" ht="12.45">
      <c r="CO871" s="3"/>
      <c r="CP871" s="3"/>
      <c r="CQ871" s="3"/>
    </row>
    <row r="872" spans="93:95" ht="12.45">
      <c r="CO872" s="3"/>
      <c r="CP872" s="3"/>
      <c r="CQ872" s="3"/>
    </row>
    <row r="873" spans="93:95" ht="12.45">
      <c r="CO873" s="3"/>
      <c r="CP873" s="3"/>
      <c r="CQ873" s="3"/>
    </row>
    <row r="874" spans="93:95" ht="12.45">
      <c r="CO874" s="3"/>
      <c r="CP874" s="3"/>
      <c r="CQ874" s="3"/>
    </row>
    <row r="875" spans="93:95" ht="12.45">
      <c r="CO875" s="3"/>
      <c r="CP875" s="3"/>
      <c r="CQ875" s="3"/>
    </row>
    <row r="876" spans="93:95" ht="12.45">
      <c r="CO876" s="3"/>
      <c r="CP876" s="3"/>
      <c r="CQ876" s="3"/>
    </row>
    <row r="877" spans="93:95" ht="12.45">
      <c r="CO877" s="3"/>
      <c r="CP877" s="3"/>
      <c r="CQ877" s="3"/>
    </row>
    <row r="878" spans="93:95" ht="12.45">
      <c r="CO878" s="3"/>
      <c r="CP878" s="3"/>
      <c r="CQ878" s="3"/>
    </row>
    <row r="879" spans="93:95" ht="12.45">
      <c r="CO879" s="3"/>
      <c r="CP879" s="3"/>
      <c r="CQ879" s="3"/>
    </row>
    <row r="880" spans="93:95" ht="12.45">
      <c r="CO880" s="3"/>
      <c r="CP880" s="3"/>
      <c r="CQ880" s="3"/>
    </row>
    <row r="881" spans="93:95" ht="12.45">
      <c r="CO881" s="3"/>
      <c r="CP881" s="3"/>
      <c r="CQ881" s="3"/>
    </row>
    <row r="882" spans="93:95" ht="12.45">
      <c r="CO882" s="3"/>
      <c r="CP882" s="3"/>
      <c r="CQ882" s="3"/>
    </row>
    <row r="883" spans="93:95" ht="12.45">
      <c r="CO883" s="3"/>
      <c r="CP883" s="3"/>
      <c r="CQ883" s="3"/>
    </row>
    <row r="884" spans="93:95" ht="12.45">
      <c r="CO884" s="3"/>
      <c r="CP884" s="3"/>
      <c r="CQ884" s="3"/>
    </row>
    <row r="885" spans="93:95" ht="12.45">
      <c r="CO885" s="3"/>
      <c r="CP885" s="3"/>
      <c r="CQ885" s="3"/>
    </row>
    <row r="886" spans="93:95" ht="12.45">
      <c r="CO886" s="3"/>
      <c r="CP886" s="3"/>
      <c r="CQ886" s="3"/>
    </row>
    <row r="887" spans="93:95" ht="12.45">
      <c r="CO887" s="3"/>
      <c r="CP887" s="3"/>
      <c r="CQ887" s="3"/>
    </row>
    <row r="888" spans="93:95" ht="12.45">
      <c r="CO888" s="3"/>
      <c r="CP888" s="3"/>
      <c r="CQ888" s="3"/>
    </row>
    <row r="889" spans="93:95" ht="12.45">
      <c r="CO889" s="3"/>
      <c r="CP889" s="3"/>
      <c r="CQ889" s="3"/>
    </row>
    <row r="890" spans="93:95" ht="12.45">
      <c r="CO890" s="3"/>
      <c r="CP890" s="3"/>
      <c r="CQ890" s="3"/>
    </row>
    <row r="891" spans="93:95" ht="12.45">
      <c r="CO891" s="3"/>
      <c r="CP891" s="3"/>
      <c r="CQ891" s="3"/>
    </row>
    <row r="892" spans="93:95" ht="12.45">
      <c r="CO892" s="3"/>
      <c r="CP892" s="3"/>
      <c r="CQ892" s="3"/>
    </row>
    <row r="893" spans="93:95" ht="12.45">
      <c r="CO893" s="3"/>
      <c r="CP893" s="3"/>
      <c r="CQ893" s="3"/>
    </row>
    <row r="894" spans="93:95" ht="12.45">
      <c r="CO894" s="3"/>
      <c r="CP894" s="3"/>
      <c r="CQ894" s="3"/>
    </row>
    <row r="895" spans="93:95" ht="12.45">
      <c r="CO895" s="3"/>
      <c r="CP895" s="3"/>
      <c r="CQ895" s="3"/>
    </row>
    <row r="896" spans="93:95" ht="12.45">
      <c r="CO896" s="3"/>
      <c r="CP896" s="3"/>
      <c r="CQ896" s="3"/>
    </row>
    <row r="897" spans="93:95" ht="12.45">
      <c r="CO897" s="3"/>
      <c r="CP897" s="3"/>
      <c r="CQ897" s="3"/>
    </row>
    <row r="898" spans="93:95" ht="12.45">
      <c r="CO898" s="3"/>
      <c r="CP898" s="3"/>
      <c r="CQ898" s="3"/>
    </row>
    <row r="899" spans="93:95" ht="12.45">
      <c r="CO899" s="3"/>
      <c r="CP899" s="3"/>
      <c r="CQ899" s="3"/>
    </row>
    <row r="900" spans="93:95" ht="12.45">
      <c r="CO900" s="3"/>
      <c r="CP900" s="3"/>
      <c r="CQ900" s="3"/>
    </row>
    <row r="901" spans="93:95" ht="12.45">
      <c r="CO901" s="3"/>
      <c r="CP901" s="3"/>
      <c r="CQ901" s="3"/>
    </row>
    <row r="902" spans="93:95" ht="12.45">
      <c r="CO902" s="3"/>
      <c r="CP902" s="3"/>
      <c r="CQ902" s="3"/>
    </row>
    <row r="903" spans="93:95" ht="12.45">
      <c r="CO903" s="3"/>
      <c r="CP903" s="3"/>
      <c r="CQ903" s="3"/>
    </row>
    <row r="904" spans="93:95" ht="12.45">
      <c r="CO904" s="3"/>
      <c r="CP904" s="3"/>
      <c r="CQ904" s="3"/>
    </row>
    <row r="905" spans="93:95" ht="12.45">
      <c r="CO905" s="3"/>
      <c r="CP905" s="3"/>
      <c r="CQ905" s="3"/>
    </row>
    <row r="906" spans="93:95" ht="12.45">
      <c r="CO906" s="3"/>
      <c r="CP906" s="3"/>
      <c r="CQ906" s="3"/>
    </row>
    <row r="907" spans="93:95" ht="12.45">
      <c r="CO907" s="3"/>
      <c r="CP907" s="3"/>
      <c r="CQ907" s="3"/>
    </row>
    <row r="908" spans="93:95" ht="12.45">
      <c r="CO908" s="3"/>
      <c r="CP908" s="3"/>
      <c r="CQ908" s="3"/>
    </row>
    <row r="909" spans="93:95" ht="12.45">
      <c r="CO909" s="3"/>
      <c r="CP909" s="3"/>
      <c r="CQ909" s="3"/>
    </row>
    <row r="910" spans="93:95" ht="12.45">
      <c r="CO910" s="3"/>
      <c r="CP910" s="3"/>
      <c r="CQ910" s="3"/>
    </row>
    <row r="911" spans="93:95" ht="12.45">
      <c r="CO911" s="3"/>
      <c r="CP911" s="3"/>
      <c r="CQ911" s="3"/>
    </row>
    <row r="912" spans="93:95" ht="12.45">
      <c r="CO912" s="3"/>
      <c r="CP912" s="3"/>
      <c r="CQ912" s="3"/>
    </row>
    <row r="913" spans="93:95" ht="12.45">
      <c r="CO913" s="3"/>
      <c r="CP913" s="3"/>
      <c r="CQ913" s="3"/>
    </row>
    <row r="914" spans="93:95" ht="12.45">
      <c r="CO914" s="3"/>
      <c r="CP914" s="3"/>
      <c r="CQ914" s="3"/>
    </row>
    <row r="915" spans="93:95" ht="12.45">
      <c r="CO915" s="3"/>
      <c r="CP915" s="3"/>
      <c r="CQ915" s="3"/>
    </row>
    <row r="916" spans="93:95" ht="12.45">
      <c r="CO916" s="3"/>
      <c r="CP916" s="3"/>
      <c r="CQ916" s="3"/>
    </row>
    <row r="917" spans="93:95" ht="12.45">
      <c r="CO917" s="3"/>
      <c r="CP917" s="3"/>
      <c r="CQ917" s="3"/>
    </row>
    <row r="918" spans="93:95" ht="12.45">
      <c r="CO918" s="3"/>
      <c r="CP918" s="3"/>
      <c r="CQ918" s="3"/>
    </row>
    <row r="919" spans="93:95" ht="12.45">
      <c r="CO919" s="3"/>
      <c r="CP919" s="3"/>
      <c r="CQ919" s="3"/>
    </row>
    <row r="920" spans="93:95" ht="12.45">
      <c r="CO920" s="3"/>
      <c r="CP920" s="3"/>
      <c r="CQ920" s="3"/>
    </row>
    <row r="921" spans="93:95" ht="12.45">
      <c r="CO921" s="3"/>
      <c r="CP921" s="3"/>
      <c r="CQ921" s="3"/>
    </row>
    <row r="922" spans="93:95" ht="12.45">
      <c r="CO922" s="3"/>
      <c r="CP922" s="3"/>
      <c r="CQ922" s="3"/>
    </row>
    <row r="923" spans="93:95" ht="12.45">
      <c r="CO923" s="3"/>
      <c r="CP923" s="3"/>
      <c r="CQ923" s="3"/>
    </row>
    <row r="924" spans="93:95" ht="12.45">
      <c r="CO924" s="3"/>
      <c r="CP924" s="3"/>
      <c r="CQ924" s="3"/>
    </row>
    <row r="925" spans="93:95" ht="12.45">
      <c r="CO925" s="3"/>
      <c r="CP925" s="3"/>
      <c r="CQ925" s="3"/>
    </row>
    <row r="926" spans="93:95" ht="12.45">
      <c r="CO926" s="3"/>
      <c r="CP926" s="3"/>
      <c r="CQ926" s="3"/>
    </row>
    <row r="927" spans="93:95" ht="12.45">
      <c r="CO927" s="3"/>
      <c r="CP927" s="3"/>
      <c r="CQ927" s="3"/>
    </row>
    <row r="928" spans="93:95" ht="12.45">
      <c r="CO928" s="3"/>
      <c r="CP928" s="3"/>
      <c r="CQ928" s="3"/>
    </row>
    <row r="929" spans="93:95" ht="12.45">
      <c r="CO929" s="3"/>
      <c r="CP929" s="3"/>
      <c r="CQ929" s="3"/>
    </row>
    <row r="930" spans="93:95" ht="12.45">
      <c r="CO930" s="3"/>
      <c r="CP930" s="3"/>
      <c r="CQ930" s="3"/>
    </row>
    <row r="931" spans="93:95" ht="12.45">
      <c r="CO931" s="3"/>
      <c r="CP931" s="3"/>
      <c r="CQ931" s="3"/>
    </row>
    <row r="932" spans="93:95" ht="12.45">
      <c r="CO932" s="3"/>
      <c r="CP932" s="3"/>
      <c r="CQ932" s="3"/>
    </row>
    <row r="933" spans="93:95" ht="12.45">
      <c r="CO933" s="3"/>
      <c r="CP933" s="3"/>
      <c r="CQ933" s="3"/>
    </row>
    <row r="934" spans="93:95" ht="12.45">
      <c r="CO934" s="3"/>
      <c r="CP934" s="3"/>
      <c r="CQ934" s="3"/>
    </row>
    <row r="935" spans="93:95" ht="12.45">
      <c r="CO935" s="3"/>
      <c r="CP935" s="3"/>
      <c r="CQ935" s="3"/>
    </row>
    <row r="936" spans="93:95" ht="12.45">
      <c r="CO936" s="3"/>
      <c r="CP936" s="3"/>
      <c r="CQ936" s="3"/>
    </row>
    <row r="937" spans="93:95" ht="12.45">
      <c r="CO937" s="3"/>
      <c r="CP937" s="3"/>
      <c r="CQ937" s="3"/>
    </row>
    <row r="938" spans="93:95" ht="12.45">
      <c r="CO938" s="3"/>
      <c r="CP938" s="3"/>
      <c r="CQ938" s="3"/>
    </row>
    <row r="939" spans="93:95" ht="12.45">
      <c r="CO939" s="3"/>
      <c r="CP939" s="3"/>
      <c r="CQ939" s="3"/>
    </row>
    <row r="940" spans="93:95" ht="12.45">
      <c r="CO940" s="3"/>
      <c r="CP940" s="3"/>
      <c r="CQ940" s="3"/>
    </row>
    <row r="941" spans="93:95" ht="12.45">
      <c r="CO941" s="3"/>
      <c r="CP941" s="3"/>
      <c r="CQ941" s="3"/>
    </row>
    <row r="942" spans="93:95" ht="12.45">
      <c r="CO942" s="3"/>
      <c r="CP942" s="3"/>
      <c r="CQ942" s="3"/>
    </row>
    <row r="943" spans="93:95" ht="12.45">
      <c r="CO943" s="3"/>
      <c r="CP943" s="3"/>
      <c r="CQ943" s="3"/>
    </row>
    <row r="944" spans="93:95" ht="12.45">
      <c r="CO944" s="3"/>
      <c r="CP944" s="3"/>
      <c r="CQ944" s="3"/>
    </row>
    <row r="945" spans="93:95" ht="12.45">
      <c r="CO945" s="3"/>
      <c r="CP945" s="3"/>
      <c r="CQ945" s="3"/>
    </row>
    <row r="946" spans="93:95" ht="12.45">
      <c r="CO946" s="3"/>
      <c r="CP946" s="3"/>
      <c r="CQ946" s="3"/>
    </row>
    <row r="947" spans="93:95" ht="12.45">
      <c r="CO947" s="3"/>
      <c r="CP947" s="3"/>
      <c r="CQ947" s="3"/>
    </row>
    <row r="948" spans="93:95" ht="12.45">
      <c r="CO948" s="3"/>
      <c r="CP948" s="3"/>
      <c r="CQ948" s="3"/>
    </row>
    <row r="949" spans="93:95" ht="12.45">
      <c r="CO949" s="3"/>
      <c r="CP949" s="3"/>
      <c r="CQ949" s="3"/>
    </row>
    <row r="950" spans="93:95" ht="12.45">
      <c r="CO950" s="3"/>
      <c r="CP950" s="3"/>
      <c r="CQ950" s="3"/>
    </row>
    <row r="951" spans="93:95" ht="12.45">
      <c r="CO951" s="3"/>
      <c r="CP951" s="3"/>
      <c r="CQ951" s="3"/>
    </row>
    <row r="952" spans="93:95" ht="12.45">
      <c r="CO952" s="3"/>
      <c r="CP952" s="3"/>
      <c r="CQ952" s="3"/>
    </row>
    <row r="953" spans="93:95" ht="12.45">
      <c r="CO953" s="3"/>
      <c r="CP953" s="3"/>
      <c r="CQ953" s="3"/>
    </row>
    <row r="954" spans="93:95" ht="12.45">
      <c r="CO954" s="3"/>
      <c r="CP954" s="3"/>
      <c r="CQ954" s="3"/>
    </row>
    <row r="955" spans="93:95" ht="12.45">
      <c r="CO955" s="3"/>
      <c r="CP955" s="3"/>
      <c r="CQ955" s="3"/>
    </row>
    <row r="956" spans="93:95" ht="12.45">
      <c r="CO956" s="3"/>
      <c r="CP956" s="3"/>
      <c r="CQ956" s="3"/>
    </row>
    <row r="957" spans="93:95" ht="12.45">
      <c r="CO957" s="3"/>
      <c r="CP957" s="3"/>
      <c r="CQ957" s="3"/>
    </row>
    <row r="958" spans="93:95" ht="12.45">
      <c r="CO958" s="3"/>
      <c r="CP958" s="3"/>
      <c r="CQ958" s="3"/>
    </row>
    <row r="959" spans="93:95" ht="12.45">
      <c r="CO959" s="3"/>
      <c r="CP959" s="3"/>
      <c r="CQ959" s="3"/>
    </row>
    <row r="960" spans="93:95" ht="12.45">
      <c r="CO960" s="3"/>
      <c r="CP960" s="3"/>
      <c r="CQ960" s="3"/>
    </row>
    <row r="961" spans="93:95" ht="12.45">
      <c r="CO961" s="3"/>
      <c r="CP961" s="3"/>
      <c r="CQ961" s="3"/>
    </row>
    <row r="962" spans="93:95" ht="12.45">
      <c r="CO962" s="3"/>
      <c r="CP962" s="3"/>
      <c r="CQ962" s="3"/>
    </row>
    <row r="963" spans="93:95" ht="12.45">
      <c r="CO963" s="3"/>
      <c r="CP963" s="3"/>
      <c r="CQ963" s="3"/>
    </row>
    <row r="964" spans="93:95" ht="12.45">
      <c r="CO964" s="3"/>
      <c r="CP964" s="3"/>
      <c r="CQ964" s="3"/>
    </row>
    <row r="965" spans="93:95" ht="12.45">
      <c r="CO965" s="3"/>
      <c r="CP965" s="3"/>
      <c r="CQ965" s="3"/>
    </row>
    <row r="966" spans="93:95" ht="12.45">
      <c r="CO966" s="3"/>
      <c r="CP966" s="3"/>
      <c r="CQ966" s="3"/>
    </row>
    <row r="967" spans="93:95" ht="12.45">
      <c r="CO967" s="3"/>
      <c r="CP967" s="3"/>
      <c r="CQ967" s="3"/>
    </row>
    <row r="968" spans="93:95" ht="12.45">
      <c r="CO968" s="3"/>
      <c r="CP968" s="3"/>
      <c r="CQ968" s="3"/>
    </row>
    <row r="969" spans="93:95" ht="12.45">
      <c r="CO969" s="3"/>
      <c r="CP969" s="3"/>
      <c r="CQ969" s="3"/>
    </row>
    <row r="970" spans="93:95" ht="12.45">
      <c r="CO970" s="3"/>
      <c r="CP970" s="3"/>
      <c r="CQ970" s="3"/>
    </row>
    <row r="971" spans="93:95" ht="12.45">
      <c r="CO971" s="3"/>
      <c r="CP971" s="3"/>
      <c r="CQ971" s="3"/>
    </row>
    <row r="972" spans="93:95" ht="12.45">
      <c r="CO972" s="3"/>
      <c r="CP972" s="3"/>
      <c r="CQ972" s="3"/>
    </row>
    <row r="973" spans="93:95" ht="12.45">
      <c r="CO973" s="3"/>
      <c r="CP973" s="3"/>
      <c r="CQ973" s="3"/>
    </row>
    <row r="974" spans="93:95" ht="12.45">
      <c r="CO974" s="3"/>
      <c r="CP974" s="3"/>
      <c r="CQ974" s="3"/>
    </row>
    <row r="975" spans="93:95" ht="12.45">
      <c r="CO975" s="3"/>
      <c r="CP975" s="3"/>
      <c r="CQ975" s="3"/>
    </row>
    <row r="976" spans="93:95" ht="12.45">
      <c r="CO976" s="3"/>
      <c r="CP976" s="3"/>
      <c r="CQ976" s="3"/>
    </row>
    <row r="977" spans="93:95" ht="12.45">
      <c r="CO977" s="3"/>
      <c r="CP977" s="3"/>
      <c r="CQ977" s="3"/>
    </row>
    <row r="978" spans="93:95" ht="12.45">
      <c r="CO978" s="3"/>
      <c r="CP978" s="3"/>
      <c r="CQ978" s="3"/>
    </row>
    <row r="979" spans="93:95" ht="12.45">
      <c r="CO979" s="3"/>
      <c r="CP979" s="3"/>
      <c r="CQ979" s="3"/>
    </row>
    <row r="980" spans="93:95" ht="12.45">
      <c r="CO980" s="3"/>
      <c r="CP980" s="3"/>
      <c r="CQ980" s="3"/>
    </row>
    <row r="981" spans="93:95" ht="12.45">
      <c r="CO981" s="3"/>
      <c r="CP981" s="3"/>
      <c r="CQ981" s="3"/>
    </row>
    <row r="982" spans="93:95" ht="12.45">
      <c r="CO982" s="3"/>
      <c r="CP982" s="3"/>
      <c r="CQ982" s="3"/>
    </row>
    <row r="983" spans="93:95" ht="12.45">
      <c r="CO983" s="3"/>
      <c r="CP983" s="3"/>
      <c r="CQ983" s="3"/>
    </row>
    <row r="984" spans="93:95" ht="12.45">
      <c r="CO984" s="3"/>
      <c r="CP984" s="3"/>
      <c r="CQ984" s="3"/>
    </row>
    <row r="985" spans="93:95" ht="12.45">
      <c r="CO985" s="3"/>
      <c r="CP985" s="3"/>
      <c r="CQ985" s="3"/>
    </row>
    <row r="986" spans="93:95" ht="12.45">
      <c r="CO986" s="3"/>
      <c r="CP986" s="3"/>
      <c r="CQ986" s="3"/>
    </row>
    <row r="987" spans="93:95" ht="12.45">
      <c r="CO987" s="3"/>
      <c r="CP987" s="3"/>
      <c r="CQ987" s="3"/>
    </row>
    <row r="988" spans="93:95" ht="12.45">
      <c r="CO988" s="3"/>
      <c r="CP988" s="3"/>
      <c r="CQ988" s="3"/>
    </row>
    <row r="989" spans="93:95" ht="12.45">
      <c r="CO989" s="3"/>
      <c r="CP989" s="3"/>
      <c r="CQ989" s="3"/>
    </row>
    <row r="990" spans="93:95" ht="12.45">
      <c r="CO990" s="3"/>
      <c r="CP990" s="3"/>
      <c r="CQ990" s="3"/>
    </row>
    <row r="991" spans="93:95" ht="12.45">
      <c r="CO991" s="3"/>
      <c r="CP991" s="3"/>
      <c r="CQ991" s="3"/>
    </row>
    <row r="992" spans="93:95" ht="12.45">
      <c r="CO992" s="3"/>
      <c r="CP992" s="3"/>
      <c r="CQ992" s="3"/>
    </row>
    <row r="993" spans="93:95" ht="12.45">
      <c r="CO993" s="3"/>
      <c r="CP993" s="3"/>
      <c r="CQ993" s="3"/>
    </row>
    <row r="994" spans="93:95" ht="12.45">
      <c r="CO994" s="3"/>
      <c r="CP994" s="3"/>
      <c r="CQ994" s="3"/>
    </row>
    <row r="995" spans="93:95" ht="12.45">
      <c r="CO995" s="3"/>
      <c r="CP995" s="3"/>
      <c r="CQ995" s="3"/>
    </row>
    <row r="996" spans="93:95" ht="12.45">
      <c r="CO996" s="3"/>
      <c r="CP996" s="3"/>
      <c r="CQ996" s="3"/>
    </row>
    <row r="997" spans="93:95" ht="12.45">
      <c r="CO997" s="3"/>
      <c r="CP997" s="3"/>
      <c r="CQ997" s="3"/>
    </row>
    <row r="998" spans="93:95" ht="12.45">
      <c r="CO998" s="3"/>
      <c r="CP998" s="3"/>
      <c r="CQ998" s="3"/>
    </row>
    <row r="999" spans="93:95" ht="12.45">
      <c r="CO999" s="3"/>
      <c r="CP999" s="3"/>
      <c r="CQ999" s="3"/>
    </row>
    <row r="1000" spans="93:95" ht="12.45">
      <c r="CO1000" s="3"/>
      <c r="CP1000" s="3"/>
      <c r="CQ1000" s="3"/>
    </row>
    <row r="1001" spans="93:95" ht="12.45">
      <c r="CO1001" s="3"/>
      <c r="CP1001" s="3"/>
      <c r="CQ1001" s="3"/>
    </row>
    <row r="1002" spans="93:95" ht="12.45">
      <c r="CO1002" s="3"/>
      <c r="CP1002" s="3"/>
      <c r="CQ1002" s="3"/>
    </row>
    <row r="1003" spans="93:95" ht="12.45">
      <c r="CO1003" s="3"/>
      <c r="CP1003" s="3"/>
      <c r="CQ1003" s="3"/>
    </row>
    <row r="1004" spans="93:95" ht="12.45">
      <c r="CO1004" s="3"/>
      <c r="CP1004" s="3"/>
      <c r="CQ1004" s="3"/>
    </row>
    <row r="1005" spans="93:95" ht="12.45">
      <c r="CO1005" s="3"/>
      <c r="CP1005" s="3"/>
      <c r="CQ1005" s="3"/>
    </row>
    <row r="1006" spans="93:95" ht="12.45">
      <c r="CO1006" s="3"/>
      <c r="CP1006" s="3"/>
      <c r="CQ1006" s="3"/>
    </row>
    <row r="1007" spans="93:95" ht="12.45">
      <c r="CO1007" s="3"/>
      <c r="CP1007" s="3"/>
      <c r="CQ1007" s="3"/>
    </row>
    <row r="1008" spans="93:95" ht="12.45">
      <c r="CO1008" s="3"/>
      <c r="CP1008" s="3"/>
      <c r="CQ1008" s="3"/>
    </row>
    <row r="1009" spans="93:95" ht="12.45">
      <c r="CO1009" s="3"/>
      <c r="CP1009" s="3"/>
      <c r="CQ1009" s="3"/>
    </row>
    <row r="1010" spans="93:95" ht="12.45">
      <c r="CO1010" s="3"/>
      <c r="CP1010" s="3"/>
      <c r="CQ1010" s="3"/>
    </row>
    <row r="1011" spans="93:95" ht="12.45">
      <c r="CO1011" s="3"/>
      <c r="CP1011" s="3"/>
      <c r="CQ1011" s="3"/>
    </row>
    <row r="1012" spans="93:95" ht="12.45">
      <c r="CO1012" s="3"/>
      <c r="CP1012" s="3"/>
      <c r="CQ1012" s="3"/>
    </row>
    <row r="1013" spans="93:95" ht="12.45">
      <c r="CO1013" s="3"/>
      <c r="CP1013" s="3"/>
      <c r="CQ1013" s="3"/>
    </row>
    <row r="1014" spans="93:95" ht="12.45">
      <c r="CO1014" s="3"/>
      <c r="CP1014" s="3"/>
      <c r="CQ1014" s="3"/>
    </row>
    <row r="1015" spans="93:95" ht="12.45">
      <c r="CO1015" s="3"/>
      <c r="CP1015" s="3"/>
      <c r="CQ1015" s="3"/>
    </row>
    <row r="1016" spans="93:95" ht="12.45">
      <c r="CO1016" s="3"/>
      <c r="CP1016" s="3"/>
      <c r="CQ1016" s="3"/>
    </row>
    <row r="1017" spans="93:95" ht="12.45">
      <c r="CO1017" s="3"/>
      <c r="CP1017" s="3"/>
      <c r="CQ1017" s="3"/>
    </row>
    <row r="1018" spans="93:95" ht="12.45">
      <c r="CO1018" s="3"/>
      <c r="CP1018" s="3"/>
      <c r="CQ1018" s="3"/>
    </row>
    <row r="1019" spans="93:95" ht="12.45">
      <c r="CO1019" s="3"/>
      <c r="CP1019" s="3"/>
      <c r="CQ1019" s="3"/>
    </row>
    <row r="1020" spans="93:95" ht="12.45">
      <c r="CO1020" s="3"/>
      <c r="CP1020" s="3"/>
      <c r="CQ1020" s="3"/>
    </row>
    <row r="1021" spans="93:95" ht="12.45">
      <c r="CO1021" s="3"/>
      <c r="CP1021" s="3"/>
      <c r="CQ1021" s="3"/>
    </row>
    <row r="1022" spans="93:95" ht="12.45">
      <c r="CO1022" s="3"/>
      <c r="CP1022" s="3"/>
      <c r="CQ1022" s="3"/>
    </row>
  </sheetData>
  <mergeCells count="40">
    <mergeCell ref="E28:F28"/>
    <mergeCell ref="G28:H28"/>
    <mergeCell ref="CA27:CB27"/>
    <mergeCell ref="DE40:DH40"/>
    <mergeCell ref="CU43:CV43"/>
    <mergeCell ref="FB43:FD43"/>
    <mergeCell ref="CL27:CN27"/>
    <mergeCell ref="CS27:CU27"/>
    <mergeCell ref="DG27:DI27"/>
    <mergeCell ref="DL27:DM27"/>
    <mergeCell ref="DN27:DO27"/>
    <mergeCell ref="EB27:ED27"/>
    <mergeCell ref="EE27:EK27"/>
    <mergeCell ref="EW27:FF27"/>
    <mergeCell ref="CY9:CZ9"/>
    <mergeCell ref="W24:X24"/>
    <mergeCell ref="AG25:AJ25"/>
    <mergeCell ref="BB25:BC25"/>
    <mergeCell ref="AE27:AG27"/>
    <mergeCell ref="AH27:AJ27"/>
    <mergeCell ref="AV27:AX27"/>
    <mergeCell ref="CD27:CF27"/>
    <mergeCell ref="BC27:BE27"/>
    <mergeCell ref="BN27:BO27"/>
    <mergeCell ref="R57:S57"/>
    <mergeCell ref="EY57:EZ57"/>
    <mergeCell ref="FA57:FB57"/>
    <mergeCell ref="BQ27:BS27"/>
    <mergeCell ref="BY27:BZ27"/>
    <mergeCell ref="BL40:BM40"/>
    <mergeCell ref="BN43:BO43"/>
    <mergeCell ref="CA43:CB43"/>
    <mergeCell ref="AE47:AF47"/>
    <mergeCell ref="BK47:BL47"/>
    <mergeCell ref="BY47:BZ47"/>
    <mergeCell ref="CK47:CL47"/>
    <mergeCell ref="CM47:CN47"/>
    <mergeCell ref="CS47:CT47"/>
    <mergeCell ref="CO52:CT52"/>
    <mergeCell ref="DL32:DN3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1" sqref="C21"/>
    </sheetView>
  </sheetViews>
  <sheetFormatPr defaultColWidth="12.69140625" defaultRowHeight="15.75" customHeight="1"/>
  <cols>
    <col min="1" max="1" width="19.69140625" customWidth="1"/>
    <col min="3" max="3" width="36.3046875" customWidth="1"/>
    <col min="4" max="4" width="14.07421875" customWidth="1"/>
    <col min="5" max="5" width="17.4609375" customWidth="1"/>
    <col min="8" max="8" width="26.4609375" customWidth="1"/>
  </cols>
  <sheetData>
    <row r="1" spans="1:26" ht="15.75" customHeight="1">
      <c r="A1" s="20" t="s">
        <v>108</v>
      </c>
      <c r="B1" s="20" t="s">
        <v>110</v>
      </c>
      <c r="C1" s="20" t="s">
        <v>21</v>
      </c>
      <c r="D1" s="20" t="s">
        <v>111</v>
      </c>
      <c r="E1" s="20" t="s">
        <v>117</v>
      </c>
      <c r="F1" s="20" t="s">
        <v>1</v>
      </c>
      <c r="G1" s="20" t="s">
        <v>2</v>
      </c>
      <c r="H1" s="20" t="s">
        <v>109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5.75" customHeight="1">
      <c r="A2" s="3" t="s">
        <v>4</v>
      </c>
      <c r="B2" s="10">
        <v>9863039083</v>
      </c>
      <c r="C2" s="3" t="s">
        <v>23</v>
      </c>
      <c r="D2" s="3" t="s">
        <v>114</v>
      </c>
      <c r="E2" s="3" t="s">
        <v>114</v>
      </c>
      <c r="F2" s="10">
        <v>27.687353300000002</v>
      </c>
      <c r="G2" s="10">
        <v>85.430333300000001</v>
      </c>
      <c r="H2" s="3" t="s">
        <v>113</v>
      </c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3" t="s">
        <v>5</v>
      </c>
      <c r="B3" s="21">
        <v>9861288850</v>
      </c>
      <c r="C3" s="3"/>
      <c r="D3" s="3" t="s">
        <v>115</v>
      </c>
      <c r="E3" s="3" t="s">
        <v>118</v>
      </c>
      <c r="F3" s="22">
        <v>27.724736304058101</v>
      </c>
      <c r="G3" s="23">
        <v>85.332627198336795</v>
      </c>
      <c r="H3" s="3" t="s">
        <v>119</v>
      </c>
    </row>
    <row r="4" spans="1:26" ht="15.75" customHeight="1">
      <c r="A4" s="3" t="s">
        <v>120</v>
      </c>
      <c r="B4" s="10">
        <v>9864233675</v>
      </c>
      <c r="C4" s="3" t="s">
        <v>121</v>
      </c>
      <c r="D4" s="3" t="s">
        <v>114</v>
      </c>
      <c r="E4" s="3" t="s">
        <v>114</v>
      </c>
      <c r="F4" s="3"/>
      <c r="G4" s="3"/>
      <c r="H4" s="3" t="s">
        <v>122</v>
      </c>
    </row>
    <row r="5" spans="1:26" ht="15.75" customHeight="1">
      <c r="A5" s="3" t="s">
        <v>6</v>
      </c>
      <c r="B5" s="10"/>
      <c r="C5" s="3" t="s">
        <v>25</v>
      </c>
      <c r="D5" s="3" t="s">
        <v>114</v>
      </c>
      <c r="E5" s="3" t="s">
        <v>114</v>
      </c>
      <c r="F5" s="10">
        <v>27.677389300000002</v>
      </c>
      <c r="G5" s="10">
        <v>85.379717999999997</v>
      </c>
      <c r="H5" s="3" t="s">
        <v>123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 t="s">
        <v>7</v>
      </c>
      <c r="B6" s="10">
        <v>9863442500</v>
      </c>
      <c r="C6" s="24" t="s">
        <v>26</v>
      </c>
      <c r="D6" s="3" t="s">
        <v>114</v>
      </c>
      <c r="E6" s="3" t="s">
        <v>114</v>
      </c>
      <c r="F6" s="10">
        <v>27.6689905</v>
      </c>
      <c r="G6" s="10">
        <v>85.330231499999996</v>
      </c>
      <c r="H6" s="3" t="s">
        <v>124</v>
      </c>
    </row>
    <row r="7" spans="1:26" ht="15.75" customHeight="1">
      <c r="A7" s="3" t="s">
        <v>8</v>
      </c>
      <c r="B7" s="10">
        <v>9840050955</v>
      </c>
      <c r="C7" s="3" t="s">
        <v>27</v>
      </c>
      <c r="D7" s="3" t="s">
        <v>114</v>
      </c>
      <c r="E7" s="3" t="s">
        <v>114</v>
      </c>
      <c r="F7" s="10">
        <v>27.662303300000001</v>
      </c>
      <c r="G7" s="10">
        <v>85.426978000000005</v>
      </c>
      <c r="H7" s="3" t="s">
        <v>125</v>
      </c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3" t="s">
        <v>9</v>
      </c>
      <c r="B8" s="10">
        <v>9841114071</v>
      </c>
      <c r="C8" s="3" t="s">
        <v>29</v>
      </c>
      <c r="D8" s="3" t="s">
        <v>115</v>
      </c>
      <c r="E8" s="3" t="s">
        <v>118</v>
      </c>
      <c r="F8" s="10">
        <v>27.667024999999999</v>
      </c>
      <c r="G8" s="10">
        <v>85.433134699999997</v>
      </c>
      <c r="H8" s="3" t="s">
        <v>126</v>
      </c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3" t="s">
        <v>10</v>
      </c>
      <c r="B9" s="10">
        <v>9843838008</v>
      </c>
      <c r="C9" s="3" t="s">
        <v>30</v>
      </c>
      <c r="D9" s="3" t="s">
        <v>114</v>
      </c>
      <c r="E9" s="3" t="s">
        <v>127</v>
      </c>
      <c r="F9" s="10">
        <v>27.670366900000001</v>
      </c>
      <c r="G9" s="10">
        <v>85.425584650000005</v>
      </c>
      <c r="H9" s="3" t="s">
        <v>128</v>
      </c>
    </row>
    <row r="10" spans="1:26" ht="15.75" customHeight="1">
      <c r="A10" s="3" t="s">
        <v>11</v>
      </c>
      <c r="B10" s="10">
        <v>9860110966</v>
      </c>
      <c r="C10" s="3" t="s">
        <v>31</v>
      </c>
      <c r="D10" s="3" t="s">
        <v>114</v>
      </c>
      <c r="E10" s="3" t="s">
        <v>114</v>
      </c>
      <c r="F10" s="2">
        <v>27.6909204</v>
      </c>
      <c r="G10" s="2">
        <v>85.287060100000005</v>
      </c>
      <c r="H10" s="3" t="s">
        <v>129</v>
      </c>
    </row>
    <row r="11" spans="1:26" ht="15.75" customHeight="1">
      <c r="A11" s="3" t="s">
        <v>12</v>
      </c>
      <c r="B11" s="10">
        <v>9842945422</v>
      </c>
      <c r="C11" s="3" t="s">
        <v>32</v>
      </c>
      <c r="D11" s="3" t="s">
        <v>115</v>
      </c>
      <c r="E11" s="3" t="s">
        <v>118</v>
      </c>
      <c r="F11" s="10">
        <v>27.703215100000001</v>
      </c>
      <c r="G11" s="10">
        <v>85.327513800000006</v>
      </c>
      <c r="H11" s="3" t="s">
        <v>130</v>
      </c>
    </row>
    <row r="12" spans="1:26" ht="15.75" customHeight="1">
      <c r="A12" s="3" t="s">
        <v>13</v>
      </c>
      <c r="B12" s="10">
        <v>9769884964</v>
      </c>
      <c r="C12" s="3" t="s">
        <v>34</v>
      </c>
      <c r="D12" s="3" t="s">
        <v>114</v>
      </c>
      <c r="E12" s="3" t="s">
        <v>114</v>
      </c>
      <c r="F12" s="10">
        <v>27.671467499999999</v>
      </c>
      <c r="G12" s="10">
        <v>85.281358999999995</v>
      </c>
      <c r="H12" s="3" t="s">
        <v>131</v>
      </c>
    </row>
    <row r="13" spans="1:26" ht="15.75" customHeight="1">
      <c r="A13" s="3" t="s">
        <v>14</v>
      </c>
      <c r="B13" s="10">
        <v>9808179198</v>
      </c>
      <c r="C13" s="3" t="s">
        <v>35</v>
      </c>
      <c r="D13" s="3" t="s">
        <v>114</v>
      </c>
      <c r="E13" s="3" t="s">
        <v>114</v>
      </c>
      <c r="F13" s="10">
        <v>27.675395099999999</v>
      </c>
      <c r="G13" s="10">
        <v>85.388905399999999</v>
      </c>
      <c r="H13" s="3" t="s">
        <v>132</v>
      </c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3" t="s">
        <v>15</v>
      </c>
      <c r="B14" s="10">
        <v>9816147254</v>
      </c>
      <c r="C14" s="3" t="s">
        <v>36</v>
      </c>
      <c r="D14" s="3" t="s">
        <v>133</v>
      </c>
      <c r="E14" s="3" t="s">
        <v>134</v>
      </c>
      <c r="F14" s="10">
        <v>27.692985400000001</v>
      </c>
      <c r="G14" s="10">
        <v>85.278253399999997</v>
      </c>
      <c r="H14" s="3" t="s">
        <v>135</v>
      </c>
    </row>
    <row r="15" spans="1:26" ht="15.75" customHeight="1">
      <c r="A15" s="3" t="s">
        <v>16</v>
      </c>
      <c r="B15" s="21">
        <v>9812750520</v>
      </c>
      <c r="C15" s="3" t="s">
        <v>37</v>
      </c>
      <c r="D15" s="3"/>
      <c r="E15" s="3"/>
      <c r="F15" s="10">
        <v>27.671604599999998</v>
      </c>
      <c r="G15" s="10">
        <v>85.339198600000003</v>
      </c>
      <c r="H15" s="3" t="s">
        <v>136</v>
      </c>
    </row>
    <row r="16" spans="1:26" ht="15.75" customHeight="1">
      <c r="A16" s="3" t="s">
        <v>17</v>
      </c>
      <c r="B16" s="21">
        <v>9741738263</v>
      </c>
      <c r="C16" s="3" t="s">
        <v>38</v>
      </c>
      <c r="D16" s="3" t="s">
        <v>115</v>
      </c>
      <c r="E16" s="3" t="s">
        <v>118</v>
      </c>
      <c r="F16" s="10">
        <v>27.74286</v>
      </c>
      <c r="G16" s="10">
        <v>85.301338099999995</v>
      </c>
      <c r="H16" s="25" t="s">
        <v>137</v>
      </c>
      <c r="I16" s="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3" t="s">
        <v>18</v>
      </c>
      <c r="B17" s="10">
        <v>9810337368</v>
      </c>
      <c r="C17" s="3" t="s">
        <v>39</v>
      </c>
      <c r="D17" s="3" t="s">
        <v>114</v>
      </c>
      <c r="E17" s="3" t="s">
        <v>114</v>
      </c>
      <c r="F17" s="10">
        <v>27.604471</v>
      </c>
      <c r="G17" s="10">
        <v>85.324104000000005</v>
      </c>
      <c r="H17" s="3" t="s">
        <v>138</v>
      </c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3" t="s">
        <v>19</v>
      </c>
      <c r="B18" s="10">
        <v>9862377120</v>
      </c>
      <c r="C18" s="3" t="s">
        <v>41</v>
      </c>
      <c r="D18" s="3" t="s">
        <v>133</v>
      </c>
      <c r="E18" s="3" t="s">
        <v>139</v>
      </c>
      <c r="F18" s="10">
        <v>27.686172500000001</v>
      </c>
      <c r="G18" s="10">
        <v>85.407485100000002</v>
      </c>
      <c r="H18" s="3"/>
      <c r="I18" s="2" t="s">
        <v>140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3" t="s">
        <v>20</v>
      </c>
      <c r="B19" s="10">
        <v>9845406666</v>
      </c>
      <c r="C19" s="3"/>
      <c r="D19" s="3" t="s">
        <v>112</v>
      </c>
      <c r="E19" s="3" t="s">
        <v>52</v>
      </c>
      <c r="F19" s="10"/>
      <c r="G19" s="10"/>
      <c r="H19" s="3" t="s">
        <v>141</v>
      </c>
    </row>
    <row r="20" spans="1:26" ht="15.75" customHeight="1">
      <c r="A20" s="3" t="s">
        <v>22</v>
      </c>
      <c r="B20" s="10">
        <v>9804810946</v>
      </c>
      <c r="C20" s="3" t="s">
        <v>43</v>
      </c>
      <c r="D20" s="3" t="s">
        <v>115</v>
      </c>
      <c r="E20" s="3" t="s">
        <v>142</v>
      </c>
      <c r="F20" s="10">
        <v>27.6901303</v>
      </c>
      <c r="G20" s="10">
        <v>85.347649799999999</v>
      </c>
      <c r="H20" s="25" t="s">
        <v>143</v>
      </c>
    </row>
    <row r="21" spans="1:26" ht="15.75" customHeight="1">
      <c r="A21" s="3" t="s">
        <v>24</v>
      </c>
      <c r="B21" s="10">
        <v>9848089375</v>
      </c>
      <c r="C21" s="3" t="s">
        <v>44</v>
      </c>
      <c r="D21" s="3" t="s">
        <v>114</v>
      </c>
      <c r="E21" s="3" t="s">
        <v>114</v>
      </c>
      <c r="F21" s="10">
        <v>27.607380200000001</v>
      </c>
      <c r="G21" s="10">
        <v>85.328346100000005</v>
      </c>
      <c r="H21" s="3" t="s">
        <v>144</v>
      </c>
    </row>
    <row r="22" spans="1:26" ht="15.75" customHeight="1">
      <c r="A22" s="3" t="s">
        <v>28</v>
      </c>
      <c r="B22" s="10">
        <v>9813967836</v>
      </c>
      <c r="C22" s="3" t="s">
        <v>45</v>
      </c>
      <c r="D22" s="3" t="s">
        <v>133</v>
      </c>
      <c r="E22" s="3" t="s">
        <v>139</v>
      </c>
      <c r="F22" s="10">
        <v>27.741359599999999</v>
      </c>
      <c r="G22" s="10">
        <v>85.399352399999998</v>
      </c>
      <c r="H22" s="3" t="s">
        <v>145</v>
      </c>
    </row>
    <row r="23" spans="1:26" ht="15.75" customHeight="1">
      <c r="A23" s="3" t="s">
        <v>33</v>
      </c>
      <c r="B23" s="10">
        <v>9814366094</v>
      </c>
      <c r="C23" s="3" t="s">
        <v>46</v>
      </c>
      <c r="D23" s="3" t="s">
        <v>133</v>
      </c>
      <c r="E23" s="3" t="s">
        <v>134</v>
      </c>
      <c r="F23" s="10">
        <v>27.670845499999999</v>
      </c>
      <c r="G23" s="10">
        <v>85.334190699999994</v>
      </c>
      <c r="H23" s="3" t="s">
        <v>146</v>
      </c>
    </row>
    <row r="24" spans="1:26" ht="15.75" customHeight="1">
      <c r="A24" s="3" t="s">
        <v>40</v>
      </c>
      <c r="B24" s="10">
        <v>9845681921</v>
      </c>
      <c r="C24" s="3"/>
      <c r="D24" s="3"/>
      <c r="E24" s="3"/>
      <c r="F24" s="3"/>
      <c r="G24" s="3"/>
      <c r="H24" s="3"/>
    </row>
    <row r="25" spans="1:26" ht="15.75" customHeight="1">
      <c r="A25" s="3" t="s">
        <v>42</v>
      </c>
      <c r="B25" s="10">
        <v>9860364348</v>
      </c>
      <c r="C25" s="3" t="s">
        <v>48</v>
      </c>
      <c r="D25" s="3" t="s">
        <v>115</v>
      </c>
      <c r="E25" s="3" t="s">
        <v>118</v>
      </c>
      <c r="F25" s="10">
        <v>27.669630000000002</v>
      </c>
      <c r="G25" s="10">
        <v>85.281497900000005</v>
      </c>
      <c r="H25" s="3" t="s">
        <v>147</v>
      </c>
    </row>
    <row r="26" spans="1:26" ht="12.45">
      <c r="A26" s="3" t="s">
        <v>47</v>
      </c>
      <c r="B26" s="10">
        <v>9867368672</v>
      </c>
      <c r="C26" s="3" t="s">
        <v>49</v>
      </c>
      <c r="D26" s="3" t="s">
        <v>133</v>
      </c>
      <c r="E26" s="3" t="s">
        <v>134</v>
      </c>
      <c r="F26" s="10">
        <v>27.6794768</v>
      </c>
      <c r="G26" s="10">
        <v>85.323389599999999</v>
      </c>
      <c r="H26" s="3" t="s">
        <v>148</v>
      </c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45">
      <c r="A27" s="3" t="s">
        <v>50</v>
      </c>
      <c r="B27" s="10">
        <v>9812070401</v>
      </c>
      <c r="C27" s="3" t="s">
        <v>51</v>
      </c>
      <c r="D27" s="3" t="s">
        <v>133</v>
      </c>
      <c r="E27" s="3" t="s">
        <v>139</v>
      </c>
      <c r="F27" s="10">
        <v>27.711289799999999</v>
      </c>
      <c r="G27" s="10">
        <v>85.415129300000004</v>
      </c>
      <c r="H27" s="3" t="s">
        <v>149</v>
      </c>
    </row>
    <row r="28" spans="1:26" ht="12.45">
      <c r="A28" s="3" t="s">
        <v>54</v>
      </c>
      <c r="B28" s="10">
        <v>9865371417</v>
      </c>
      <c r="C28" s="3" t="s">
        <v>53</v>
      </c>
      <c r="D28" s="3" t="s">
        <v>133</v>
      </c>
      <c r="E28" s="3" t="s">
        <v>139</v>
      </c>
      <c r="F28" s="10">
        <v>27.636632200000001</v>
      </c>
      <c r="G28" s="10">
        <v>85.530709099999996</v>
      </c>
      <c r="H28" s="3" t="s">
        <v>150</v>
      </c>
    </row>
    <row r="29" spans="1:26" ht="12.45">
      <c r="A29" s="3" t="s">
        <v>56</v>
      </c>
      <c r="B29" s="10">
        <v>9762328023</v>
      </c>
      <c r="C29" s="3" t="s">
        <v>55</v>
      </c>
      <c r="D29" s="3" t="s">
        <v>115</v>
      </c>
      <c r="E29" s="3" t="s">
        <v>115</v>
      </c>
      <c r="F29" s="10">
        <v>27.735400599999998</v>
      </c>
      <c r="G29" s="10">
        <v>85.368753600000005</v>
      </c>
      <c r="H29" s="3" t="s">
        <v>151</v>
      </c>
    </row>
    <row r="30" spans="1:26" ht="12.45">
      <c r="A30" s="3" t="s">
        <v>57</v>
      </c>
      <c r="B30" s="10">
        <v>9843803228</v>
      </c>
      <c r="C30" s="3"/>
      <c r="D30" s="3" t="s">
        <v>114</v>
      </c>
      <c r="E30" s="3" t="s">
        <v>114</v>
      </c>
      <c r="F30" s="10">
        <v>27.671532599999999</v>
      </c>
      <c r="G30" s="10">
        <v>85.429994500000006</v>
      </c>
      <c r="H30" s="3" t="s">
        <v>152</v>
      </c>
    </row>
    <row r="31" spans="1:26" ht="12.45">
      <c r="A31" s="3" t="s">
        <v>59</v>
      </c>
      <c r="B31" s="10">
        <v>9863593710</v>
      </c>
      <c r="C31" s="3" t="s">
        <v>58</v>
      </c>
      <c r="D31" s="3" t="s">
        <v>115</v>
      </c>
      <c r="E31" s="3" t="s">
        <v>118</v>
      </c>
      <c r="F31" s="10">
        <v>27.732045899999999</v>
      </c>
      <c r="G31" s="10">
        <v>85.291071599999995</v>
      </c>
      <c r="H31" s="3" t="s">
        <v>153</v>
      </c>
    </row>
    <row r="32" spans="1:26" ht="12.45">
      <c r="A32" s="3" t="s">
        <v>61</v>
      </c>
      <c r="B32" s="10">
        <v>9706385379</v>
      </c>
      <c r="C32" s="3" t="s">
        <v>60</v>
      </c>
      <c r="D32" s="3" t="s">
        <v>133</v>
      </c>
      <c r="E32" s="3" t="s">
        <v>134</v>
      </c>
      <c r="F32" s="10">
        <v>27.661847000000002</v>
      </c>
      <c r="G32" s="10">
        <v>85.338456500000007</v>
      </c>
      <c r="H32" s="3" t="s">
        <v>154</v>
      </c>
    </row>
    <row r="33" spans="1:26" ht="12.45">
      <c r="A33" s="3" t="s">
        <v>62</v>
      </c>
      <c r="B33" s="10">
        <v>9812009377</v>
      </c>
      <c r="C33" s="3" t="s">
        <v>51</v>
      </c>
      <c r="D33" s="3" t="s">
        <v>133</v>
      </c>
      <c r="E33" s="3" t="s">
        <v>139</v>
      </c>
      <c r="F33" s="10">
        <v>27.7127737</v>
      </c>
      <c r="G33" s="10">
        <v>85.413522299999997</v>
      </c>
      <c r="H33" s="3" t="s">
        <v>155</v>
      </c>
    </row>
    <row r="34" spans="1:26" ht="14.15">
      <c r="A34" s="3" t="s">
        <v>64</v>
      </c>
      <c r="B34" s="10">
        <v>9808776803</v>
      </c>
      <c r="C34" s="3" t="s">
        <v>63</v>
      </c>
      <c r="D34" s="3" t="s">
        <v>156</v>
      </c>
      <c r="E34" s="3" t="s">
        <v>142</v>
      </c>
      <c r="F34" s="3"/>
      <c r="G34" s="3"/>
      <c r="H34" s="26" t="s">
        <v>157</v>
      </c>
    </row>
    <row r="35" spans="1:26" ht="12.45">
      <c r="A35" s="3" t="s">
        <v>65</v>
      </c>
      <c r="B35" s="10">
        <v>9844919691</v>
      </c>
      <c r="C35" s="3" t="s">
        <v>55</v>
      </c>
      <c r="D35" s="3" t="s">
        <v>133</v>
      </c>
      <c r="E35" s="3" t="s">
        <v>139</v>
      </c>
      <c r="F35" s="10">
        <v>27.733901500000002</v>
      </c>
      <c r="G35" s="10">
        <v>85.358922399999997</v>
      </c>
      <c r="H35" s="3" t="s">
        <v>158</v>
      </c>
      <c r="I35" s="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45">
      <c r="A36" s="3" t="s">
        <v>66</v>
      </c>
      <c r="B36" s="10">
        <v>9860598925</v>
      </c>
      <c r="C36" s="3"/>
      <c r="D36" s="3" t="s">
        <v>115</v>
      </c>
      <c r="E36" s="3" t="s">
        <v>142</v>
      </c>
      <c r="F36" s="10">
        <v>27.703161556177001</v>
      </c>
      <c r="G36" s="10">
        <v>85.326484623329307</v>
      </c>
      <c r="H36" s="3" t="s">
        <v>159</v>
      </c>
      <c r="I36" s="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45">
      <c r="A37" s="3" t="s">
        <v>68</v>
      </c>
      <c r="B37" s="10">
        <v>9861728501</v>
      </c>
      <c r="C37" s="3" t="s">
        <v>67</v>
      </c>
      <c r="D37" s="3" t="s">
        <v>115</v>
      </c>
      <c r="E37" s="3" t="s">
        <v>52</v>
      </c>
      <c r="F37" s="10">
        <v>27.6606047</v>
      </c>
      <c r="G37" s="10">
        <v>85.313719399999997</v>
      </c>
      <c r="H37" s="3" t="s">
        <v>160</v>
      </c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45">
      <c r="A38" s="3" t="s">
        <v>70</v>
      </c>
      <c r="B38" s="10">
        <v>9867675072</v>
      </c>
      <c r="C38" s="3" t="s">
        <v>69</v>
      </c>
      <c r="D38" s="3" t="s">
        <v>133</v>
      </c>
      <c r="E38" s="3" t="s">
        <v>116</v>
      </c>
      <c r="F38" s="10">
        <v>27.655729999999998</v>
      </c>
      <c r="G38" s="10">
        <v>85.441063999999997</v>
      </c>
      <c r="H38" s="3" t="s">
        <v>161</v>
      </c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45">
      <c r="A39" s="3" t="s">
        <v>72</v>
      </c>
      <c r="B39" s="10">
        <v>9846854588</v>
      </c>
      <c r="C39" s="3" t="s">
        <v>71</v>
      </c>
      <c r="D39" s="3" t="s">
        <v>115</v>
      </c>
      <c r="E39" s="3" t="s">
        <v>118</v>
      </c>
      <c r="F39" s="10">
        <v>27.6790193</v>
      </c>
      <c r="G39" s="10">
        <v>85.367556500000006</v>
      </c>
      <c r="H39" s="3" t="s">
        <v>162</v>
      </c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45">
      <c r="A40" s="3" t="s">
        <v>74</v>
      </c>
      <c r="B40" s="10">
        <v>9801890109</v>
      </c>
      <c r="C40" s="3" t="s">
        <v>73</v>
      </c>
      <c r="D40" s="3" t="s">
        <v>112</v>
      </c>
      <c r="E40" s="3" t="s">
        <v>112</v>
      </c>
      <c r="F40" s="10">
        <v>27.671935000000001</v>
      </c>
      <c r="G40" s="10">
        <v>85.402018900000002</v>
      </c>
      <c r="H40" s="3" t="s">
        <v>163</v>
      </c>
    </row>
    <row r="41" spans="1:26" ht="12.45">
      <c r="A41" s="3" t="s">
        <v>76</v>
      </c>
      <c r="B41" s="10">
        <v>9849601566</v>
      </c>
      <c r="C41" s="3" t="s">
        <v>75</v>
      </c>
      <c r="D41" s="3" t="s">
        <v>114</v>
      </c>
      <c r="E41" s="3" t="s">
        <v>114</v>
      </c>
      <c r="F41" s="10">
        <v>27.716457299999998</v>
      </c>
      <c r="G41" s="10">
        <v>85.359559200000007</v>
      </c>
      <c r="H41" s="3" t="s">
        <v>164</v>
      </c>
    </row>
    <row r="42" spans="1:26" ht="12.45">
      <c r="A42" s="3" t="s">
        <v>165</v>
      </c>
      <c r="B42" s="10">
        <v>9823204457</v>
      </c>
      <c r="C42" s="3" t="s">
        <v>77</v>
      </c>
      <c r="D42" s="3" t="s">
        <v>114</v>
      </c>
      <c r="E42" s="3" t="s">
        <v>116</v>
      </c>
      <c r="F42" s="10">
        <v>27.791175549999998</v>
      </c>
      <c r="G42" s="10">
        <v>85.421049449999998</v>
      </c>
      <c r="H42" s="3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45">
      <c r="A43" s="3" t="s">
        <v>80</v>
      </c>
      <c r="B43" s="10">
        <v>9847554977</v>
      </c>
      <c r="C43" s="3" t="s">
        <v>79</v>
      </c>
      <c r="D43" s="3" t="s">
        <v>112</v>
      </c>
      <c r="E43" s="3" t="s">
        <v>112</v>
      </c>
      <c r="F43" s="10">
        <v>27.653752000000001</v>
      </c>
      <c r="G43" s="10">
        <v>85.344530199999994</v>
      </c>
      <c r="H43" s="3" t="s">
        <v>166</v>
      </c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45">
      <c r="A44" s="3" t="s">
        <v>81</v>
      </c>
      <c r="B44" s="10">
        <v>9840252354</v>
      </c>
      <c r="C44" s="3" t="s">
        <v>29</v>
      </c>
      <c r="D44" s="3" t="s">
        <v>114</v>
      </c>
      <c r="E44" s="3" t="s">
        <v>114</v>
      </c>
      <c r="F44" s="10">
        <v>27.679802500000001</v>
      </c>
      <c r="G44" s="10">
        <v>85.445396299999999</v>
      </c>
      <c r="H44" s="3" t="s">
        <v>167</v>
      </c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45">
      <c r="A45" s="3" t="s">
        <v>83</v>
      </c>
      <c r="B45" s="10">
        <v>9861957618</v>
      </c>
      <c r="C45" s="3" t="s">
        <v>82</v>
      </c>
      <c r="D45" s="3" t="s">
        <v>114</v>
      </c>
      <c r="E45" s="3" t="s">
        <v>114</v>
      </c>
      <c r="F45" s="10">
        <v>27.676252999999999</v>
      </c>
      <c r="G45" s="10">
        <v>85.389205599999997</v>
      </c>
      <c r="H45" s="3" t="s">
        <v>168</v>
      </c>
      <c r="I45" s="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45">
      <c r="A46" s="3" t="s">
        <v>85</v>
      </c>
      <c r="B46" s="10">
        <v>9810123121</v>
      </c>
      <c r="C46" s="3" t="s">
        <v>84</v>
      </c>
      <c r="D46" s="3" t="s">
        <v>114</v>
      </c>
      <c r="E46" s="3" t="s">
        <v>114</v>
      </c>
      <c r="F46" s="10">
        <v>27.5895525</v>
      </c>
      <c r="G46" s="10">
        <v>85.515697799999998</v>
      </c>
      <c r="H46" s="3" t="s">
        <v>169</v>
      </c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45">
      <c r="A47" s="3" t="s">
        <v>87</v>
      </c>
      <c r="B47" s="10">
        <v>9844995281</v>
      </c>
      <c r="C47" s="3" t="s">
        <v>86</v>
      </c>
      <c r="D47" s="3" t="s">
        <v>112</v>
      </c>
      <c r="E47" s="3" t="s">
        <v>112</v>
      </c>
      <c r="F47" s="10">
        <v>27.6483177</v>
      </c>
      <c r="G47" s="10">
        <v>85.312951299999995</v>
      </c>
      <c r="H47" s="27" t="s">
        <v>170</v>
      </c>
    </row>
    <row r="48" spans="1:26" ht="12.45">
      <c r="A48" s="3" t="s">
        <v>89</v>
      </c>
      <c r="B48" s="10">
        <v>9745325649</v>
      </c>
      <c r="C48" s="3" t="s">
        <v>88</v>
      </c>
      <c r="D48" s="3" t="s">
        <v>133</v>
      </c>
      <c r="E48" s="3" t="s">
        <v>139</v>
      </c>
      <c r="F48" s="10">
        <v>27.749326499999999</v>
      </c>
      <c r="G48" s="10">
        <v>85.293274199999999</v>
      </c>
      <c r="H48" s="3" t="s">
        <v>171</v>
      </c>
    </row>
    <row r="49" spans="1:26" ht="12.45">
      <c r="A49" s="3" t="s">
        <v>91</v>
      </c>
      <c r="B49" s="21">
        <v>9840321666</v>
      </c>
      <c r="C49" s="3" t="s">
        <v>90</v>
      </c>
      <c r="D49" s="3" t="s">
        <v>115</v>
      </c>
      <c r="E49" s="3" t="s">
        <v>118</v>
      </c>
      <c r="F49" s="3"/>
      <c r="G49" s="3"/>
      <c r="H49" s="3" t="s">
        <v>172</v>
      </c>
    </row>
    <row r="50" spans="1:26" ht="12.45">
      <c r="A50" s="3" t="s">
        <v>173</v>
      </c>
      <c r="B50" s="10">
        <v>9823119991</v>
      </c>
      <c r="C50" s="3" t="s">
        <v>26</v>
      </c>
      <c r="D50" s="3" t="s">
        <v>115</v>
      </c>
      <c r="E50" s="3" t="s">
        <v>52</v>
      </c>
      <c r="F50" s="3"/>
      <c r="G50" s="3"/>
      <c r="H50" s="28" t="s">
        <v>174</v>
      </c>
    </row>
    <row r="51" spans="1:26" ht="12.45">
      <c r="A51" s="3" t="s">
        <v>93</v>
      </c>
      <c r="B51" s="10">
        <v>9840132940</v>
      </c>
      <c r="C51" s="3" t="s">
        <v>92</v>
      </c>
      <c r="D51" s="3" t="s">
        <v>115</v>
      </c>
      <c r="E51" s="3" t="s">
        <v>142</v>
      </c>
      <c r="F51" s="10">
        <v>27.6827319</v>
      </c>
      <c r="G51" s="10">
        <v>85.343363199999999</v>
      </c>
      <c r="H51" s="27" t="s">
        <v>175</v>
      </c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45">
      <c r="A52" s="3" t="s">
        <v>95</v>
      </c>
      <c r="B52" s="10">
        <v>9803006851</v>
      </c>
      <c r="C52" s="3" t="s">
        <v>94</v>
      </c>
      <c r="D52" s="3" t="s">
        <v>114</v>
      </c>
      <c r="E52" s="3" t="s">
        <v>114</v>
      </c>
      <c r="F52" s="10">
        <v>27.675781700000002</v>
      </c>
      <c r="G52" s="10">
        <v>85.375986900000001</v>
      </c>
      <c r="H52" s="3" t="s">
        <v>176</v>
      </c>
    </row>
    <row r="53" spans="1:26" ht="12.45">
      <c r="A53" s="2" t="s">
        <v>97</v>
      </c>
      <c r="B53" s="2">
        <v>9843352342</v>
      </c>
      <c r="C53" s="2" t="s">
        <v>96</v>
      </c>
      <c r="D53" s="2" t="s">
        <v>112</v>
      </c>
      <c r="E53" s="2" t="s">
        <v>112</v>
      </c>
      <c r="F53" s="2">
        <v>27.676024300000002</v>
      </c>
      <c r="G53" s="2">
        <v>85.448449999999994</v>
      </c>
      <c r="H53" s="29" t="s">
        <v>177</v>
      </c>
    </row>
    <row r="54" spans="1:26" ht="12.45">
      <c r="A54" s="2" t="s">
        <v>99</v>
      </c>
      <c r="B54" s="2">
        <v>9843655378</v>
      </c>
      <c r="C54" s="2" t="s">
        <v>98</v>
      </c>
      <c r="D54" s="2" t="s">
        <v>114</v>
      </c>
      <c r="E54" s="2" t="s">
        <v>114</v>
      </c>
      <c r="F54" s="2">
        <v>27.731458199999999</v>
      </c>
      <c r="G54" s="2">
        <v>85.239444800000001</v>
      </c>
      <c r="H54" s="29" t="s">
        <v>178</v>
      </c>
    </row>
    <row r="55" spans="1:26" ht="12.45">
      <c r="A55" s="3" t="s">
        <v>100</v>
      </c>
      <c r="B55" s="10">
        <v>9841111525</v>
      </c>
      <c r="C55" s="3" t="s">
        <v>29</v>
      </c>
      <c r="D55" s="3" t="s">
        <v>133</v>
      </c>
      <c r="E55" s="3" t="s">
        <v>139</v>
      </c>
      <c r="F55" s="10">
        <v>27.671098400000002</v>
      </c>
      <c r="G55" s="10">
        <v>85.434408700000006</v>
      </c>
      <c r="H55" s="3" t="s">
        <v>179</v>
      </c>
    </row>
    <row r="56" spans="1:26" ht="12.45">
      <c r="A56" s="3" t="s">
        <v>103</v>
      </c>
      <c r="B56" s="10">
        <v>9865623460</v>
      </c>
      <c r="C56" s="3" t="s">
        <v>102</v>
      </c>
      <c r="D56" s="3" t="s">
        <v>115</v>
      </c>
      <c r="E56" s="3" t="s">
        <v>118</v>
      </c>
      <c r="F56" s="10">
        <v>27.669335</v>
      </c>
      <c r="G56" s="10">
        <v>85.272198399999994</v>
      </c>
      <c r="H56" s="3" t="s">
        <v>180</v>
      </c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45">
      <c r="A57" s="3" t="s">
        <v>105</v>
      </c>
      <c r="B57" s="10">
        <v>9861484538</v>
      </c>
      <c r="C57" s="3" t="s">
        <v>104</v>
      </c>
      <c r="D57" s="3" t="s">
        <v>114</v>
      </c>
      <c r="E57" s="3" t="s">
        <v>114</v>
      </c>
      <c r="F57" s="10">
        <v>27.682535000000001</v>
      </c>
      <c r="G57" s="10">
        <v>85.445298300000005</v>
      </c>
      <c r="H57" s="3" t="s">
        <v>181</v>
      </c>
    </row>
    <row r="58" spans="1:26" ht="12.45">
      <c r="A58" s="3" t="s">
        <v>182</v>
      </c>
      <c r="B58" s="10">
        <v>9849949771</v>
      </c>
      <c r="C58" s="3" t="s">
        <v>106</v>
      </c>
      <c r="D58" s="3" t="s">
        <v>156</v>
      </c>
      <c r="E58" s="3" t="s">
        <v>142</v>
      </c>
      <c r="F58" s="10">
        <v>27.686146000000001</v>
      </c>
      <c r="G58" s="10">
        <v>85.279221000000007</v>
      </c>
      <c r="H58" s="3" t="s">
        <v>183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</vt:lpstr>
      <vt:lpstr>From_Web_App</vt:lpstr>
      <vt:lpstr>CS_Information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Slezas, Roland</cp:lastModifiedBy>
  <dcterms:modified xsi:type="dcterms:W3CDTF">2026-10-15T21:19:09Z</dcterms:modified>
</cp:coreProperties>
</file>